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1"/>
  <workbookPr hidePivotFieldList="1" defaultThemeVersion="202300"/>
  <mc:AlternateContent xmlns:mc="http://schemas.openxmlformats.org/markup-compatibility/2006">
    <mc:Choice Requires="x15">
      <x15ac:absPath xmlns:x15ac="http://schemas.microsoft.com/office/spreadsheetml/2010/11/ac" url="D:\EXCEL PRACTICE FILES\"/>
    </mc:Choice>
  </mc:AlternateContent>
  <xr:revisionPtr revIDLastSave="0" documentId="8_{8492811C-0E58-46AA-888B-019524A90B40}" xr6:coauthVersionLast="47" xr6:coauthVersionMax="47" xr10:uidLastSave="{00000000-0000-0000-0000-000000000000}"/>
  <bookViews>
    <workbookView xWindow="-108" yWindow="-108" windowWidth="23256" windowHeight="12576" activeTab="1" xr2:uid="{9AF2DBDE-F7BF-4516-B42F-C1F3146C71BF}"/>
  </bookViews>
  <sheets>
    <sheet name="PIVOT REPORT" sheetId="1" r:id="rId1"/>
    <sheet name="DASHBOARD" sheetId="2" r:id="rId2"/>
    <sheet name="Satisfaction Score" sheetId="6" r:id="rId3"/>
    <sheet name="Average Wait Time " sheetId="5" r:id="rId4"/>
    <sheet name="Daily ER Patient" sheetId="4" r:id="rId5"/>
  </sheets>
  <definedNames>
    <definedName name="Slicer_Date__Month">#N/A</definedName>
    <definedName name="Slicer_Date__Year">#N/A</definedName>
  </definedNames>
  <calcPr calcId="191029"/>
  <pivotCaches>
    <pivotCache cacheId="1926" r:id="rId6"/>
    <pivotCache cacheId="1929" r:id="rId7"/>
    <pivotCache cacheId="1932" r:id="rId8"/>
    <pivotCache cacheId="1935" r:id="rId9"/>
    <pivotCache cacheId="1938" r:id="rId10"/>
    <pivotCache cacheId="1941" r:id="rId11"/>
    <pivotCache cacheId="1944" r:id="rId12"/>
    <pivotCache cacheId="1947" r:id="rId13"/>
    <pivotCache cacheId="1950" r:id="rId14"/>
    <pivotCache cacheId="1953" r:id="rId15"/>
    <pivotCache cacheId="1956" r:id="rId16"/>
    <pivotCache cacheId="1959" r:id="rId17"/>
  </pivotCaches>
  <extLst>
    <ext xmlns:x14="http://schemas.microsoft.com/office/spreadsheetml/2009/9/main" uri="{876F7934-8845-4945-9796-88D515C7AA90}">
      <x14:pivotCaches>
        <pivotCache cacheId="160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7f662b1-824f-4282-82eb-bd473f30874d" name="Hospital Emergency Room Data" connection="Query - Hospital Emergency Room Data"/>
          <x15:modelTable id="Calendar_Table_b805cba4-e387-4577-98e2-79e0be17f83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43" i="1" s="1"/>
  <c r="C34" i="1"/>
  <c r="C43" i="1" s="1"/>
  <c r="B35" i="1"/>
  <c r="B42" i="1" s="1"/>
  <c r="C35" i="1"/>
  <c r="C42" i="1" s="1"/>
  <c r="A35" i="1"/>
  <c r="A42" i="1" s="1"/>
  <c r="A34" i="1"/>
  <c r="A4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E11DB-D658-40FE-B611-A328902FD4C3}" name="Query - Calendar_Table" description="Connection to the 'Calendar_Table' query in the workbook." type="100" refreshedVersion="8" minRefreshableVersion="5">
    <extLst>
      <ext xmlns:x15="http://schemas.microsoft.com/office/spreadsheetml/2010/11/main" uri="{DE250136-89BD-433C-8126-D09CA5730AF9}">
        <x15:connection id="02d48237-b1c1-4a63-9e8c-3d374db5aa07"/>
      </ext>
    </extLst>
  </connection>
  <connection id="2" xr16:uid="{B7D0FFB6-85FE-47B6-AC68-DCD5F9A5E3F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c7c7a46-c13e-47d4-82bb-93a7bdc5749f"/>
      </ext>
    </extLst>
  </connection>
  <connection id="3" xr16:uid="{909CD9D6-0E82-4CBB-BB43-1D2D6BEB3DB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<sst xmlns="http://schemas.openxmlformats.org/spreadsheetml/2006/main" count="159" uniqueCount="75">
  <si>
    <t>Distinct Count of Patient Id</t>
  </si>
  <si>
    <t>Row Labels</t>
  </si>
  <si>
    <t>Grand Total</t>
  </si>
  <si>
    <t>NO. Of Patient</t>
  </si>
  <si>
    <t>Average of Patient Waittime</t>
  </si>
  <si>
    <t>Average of Patient Satisfaction Score</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</si>
  <si>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</si>
  <si>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</si>
  <si>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</si>
  <si>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</si>
  <si>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</si>
  <si>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</si>
  <si>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</si>
  <si>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</si>
  <si>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</si>
  <si>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</si>
  <si>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</si>
  <si>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</si>
  <si>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</si>
  <si>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</si>
  <si>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</si>
  <si>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</si>
  <si>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</si>
  <si>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</si>
  <si>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</si>
  <si>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</si>
  <si>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</si>
  <si>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</si>
  <si>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</si>
  <si>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</si>
  <si>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</si>
  <si>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</si>
  <si>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</si>
  <si>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</si>
  <si>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</si>
  <si>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</si>
  <si>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</si>
  <si>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</si>
  <si>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OF NO OF PATIENTS</t>
  </si>
  <si>
    <t>AVERAGE WAIT TIMES</t>
  </si>
  <si>
    <t>SATISFACTION SCORE</t>
  </si>
  <si>
    <t>Count of Patient Attend Status</t>
  </si>
  <si>
    <t>Admitted</t>
  </si>
  <si>
    <t>Not Admitted</t>
  </si>
  <si>
    <t>Count of Patient Admission Flag</t>
  </si>
  <si>
    <t>Admission Status</t>
  </si>
  <si>
    <t>No. of Patient</t>
  </si>
  <si>
    <t>% Status</t>
  </si>
  <si>
    <t xml:space="preserve"> Patient</t>
  </si>
  <si>
    <t>0-9</t>
  </si>
  <si>
    <t>10-19</t>
  </si>
  <si>
    <t>20-29</t>
  </si>
  <si>
    <t>30-39</t>
  </si>
  <si>
    <t>40_49</t>
  </si>
  <si>
    <t>50-59</t>
  </si>
  <si>
    <t>60-69</t>
  </si>
  <si>
    <t>70-79</t>
  </si>
  <si>
    <t>Count of Age Group</t>
  </si>
  <si>
    <t>Delay</t>
  </si>
  <si>
    <t>On Time</t>
  </si>
  <si>
    <t>Female</t>
  </si>
  <si>
    <t>Male</t>
  </si>
  <si>
    <t>Count of Patient Gender</t>
  </si>
  <si>
    <t>Cardiology</t>
  </si>
  <si>
    <t>Gastroenterology</t>
  </si>
  <si>
    <t>General Practice</t>
  </si>
  <si>
    <t>Neurology</t>
  </si>
  <si>
    <t>None</t>
  </si>
  <si>
    <t>Orthopedics</t>
  </si>
  <si>
    <t>Physiotherapy</t>
  </si>
  <si>
    <t>Renal</t>
  </si>
  <si>
    <t>Count of Department Referral</t>
  </si>
  <si>
    <t>Attended Status</t>
  </si>
  <si>
    <t>Gender</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</si>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</sst>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3" tint="0.749992370372631"/>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 fontId="0" fillId="0" borderId="0" xfId="0" applyNumberFormat="1"/>
    <xf numFmtId="10" fontId="0" fillId="0" borderId="0" xfId="0" applyNumberFormat="1"/>
    <xf numFmtId="9" fontId="0" fillId="0" borderId="0" xfId="1" applyFont="1"/>
    <xf numFmtId="0" fontId="0" fillId="3" borderId="0" xfId="0" applyFill="1"/>
    <xf numFmtId="0" fontId="0"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9" fontId="0" fillId="2" borderId="0" xfId="1" applyFont="1" applyFill="1" applyAlignment="1">
      <alignment horizontal="center"/>
    </xf>
    <xf numFmtId="0" fontId="0" fillId="4" borderId="0" xfId="0" applyFill="1"/>
  </cellXfs>
  <cellStyles count="2">
    <cellStyle name="Normal" xfId="0" builtinId="0"/>
    <cellStyle name="Percent" xfId="1" builtinId="5"/>
  </cellStyles>
  <dxfs count="100">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font>
        <b/>
        <color theme="1"/>
      </font>
      <border>
        <bottom style="thin">
          <color theme="9"/>
        </bottom>
        <vertical/>
        <horizontal/>
      </border>
    </dxf>
    <dxf>
      <font>
        <color theme="1"/>
      </font>
      <fill>
        <patternFill patternType="solid">
          <bgColor theme="3" tint="0.89996032593768116"/>
        </patternFill>
      </fill>
      <border diagonalUp="0" diagonalDown="0">
        <left/>
        <right/>
        <top/>
        <bottom/>
        <vertical/>
        <horizontal/>
      </border>
    </dxf>
    <dxf>
      <font>
        <b/>
        <color theme="1"/>
      </font>
      <border>
        <bottom style="thin">
          <color theme="5"/>
        </bottom>
        <vertical/>
        <horizontal/>
      </border>
    </dxf>
    <dxf>
      <font>
        <color theme="1"/>
      </font>
      <fill>
        <patternFill>
          <bgColor theme="5" tint="-0.24994659260841701"/>
        </patternFill>
      </fill>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sz val="8"/>
        <color theme="1"/>
      </font>
      <fill>
        <patternFill>
          <bgColor theme="5"/>
        </patternFill>
      </fill>
      <border>
        <left style="thin">
          <color theme="8"/>
        </left>
        <right style="thin">
          <color theme="8"/>
        </right>
        <top style="thin">
          <color theme="8"/>
        </top>
        <bottom style="thin">
          <color theme="8"/>
        </bottom>
        <vertical/>
        <horizontal/>
      </border>
    </dxf>
    <dxf>
      <numFmt numFmtId="2" formatCode="0.00"/>
    </dxf>
    <dxf>
      <numFmt numFmtId="2" formatCode="0.00"/>
    </dxf>
  </dxfs>
  <tableStyles count="3" defaultTableStyle="TableStyleMedium2" defaultPivotStyle="PivotStyleLight16">
    <tableStyle name="MY STYLE" pivot="0" table="0" count="10" xr9:uid="{EDBA7057-82BC-45D6-996E-05DD9AA8811A}">
      <tableStyleElement type="wholeTable" dxfId="97"/>
      <tableStyleElement type="headerRow" dxfId="96"/>
    </tableStyle>
    <tableStyle name="MY STYLE 1" pivot="0" table="0" count="10" xr9:uid="{478AD2A4-21EE-4FBD-974E-B53E2C7FF59C}">
      <tableStyleElement type="wholeTable" dxfId="95"/>
      <tableStyleElement type="headerRow" dxfId="94"/>
    </tableStyle>
    <tableStyle name="MY STYLE 3" pivot="0" table="0" count="10" xr9:uid="{04B93FAF-8B31-43A8-A352-23A1E3648549}">
      <tableStyleElement type="wholeTable" dxfId="93"/>
      <tableStyleElement type="headerRow" dxfId="92"/>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F05B5E-9A77-4A03-A1B4-778C3D3CAC2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72F987-F90A-46CF-8E7F-AAF8B8ABF17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406584815195973"/>
          <c:y val="0.17014873140857392"/>
          <c:w val="0.76628601396144791"/>
          <c:h val="0.80902777777777779"/>
        </c:manualLayout>
      </c:layout>
      <c:barChart>
        <c:barDir val="bar"/>
        <c:grouping val="clustered"/>
        <c:varyColors val="0"/>
        <c:ser>
          <c:idx val="0"/>
          <c:order val="0"/>
          <c:tx>
            <c:strRef>
              <c:f>'PIVOT REPORT'!$C$29:$C$30</c:f>
              <c:strCache>
                <c:ptCount val="1"/>
                <c:pt idx="0">
                  <c:v>Count of Patient Attend Status</c:v>
                </c:pt>
              </c:strCache>
            </c:strRef>
          </c:tx>
          <c:spPr>
            <a:solidFill>
              <a:schemeClr val="accent1"/>
            </a:solidFill>
            <a:ln>
              <a:noFill/>
            </a:ln>
            <a:effectLst/>
          </c:spPr>
          <c:invertIfNegative val="0"/>
          <c:dLbls>
            <c:dLbl>
              <c:idx val="0"/>
              <c:tx>
                <c:rich>
                  <a:bodyPr/>
                  <a:lstStyle/>
                  <a:p>
                    <a:fld id="{8EF05B5E-9A77-4A03-A1B4-778C3D3CAC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D13-4C84-9FE8-1E3ADCD104AA}"/>
                </c:ext>
              </c:extLst>
            </c:dLbl>
            <c:dLbl>
              <c:idx val="1"/>
              <c:tx>
                <c:rich>
                  <a:bodyPr/>
                  <a:lstStyle/>
                  <a:p>
                    <a:fld id="{9F72F987-F90A-46CF-8E7F-AAF8B8ABF1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13-4C84-9FE8-1E3ADCD104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REPORT'!$C$29:$C$30</c:f>
              <c:strCache>
                <c:ptCount val="2"/>
                <c:pt idx="0">
                  <c:v>Admitted</c:v>
                </c:pt>
                <c:pt idx="1">
                  <c:v>Not Admitted</c:v>
                </c:pt>
              </c:strCache>
            </c:strRef>
          </c:cat>
          <c:val>
            <c:numRef>
              <c:f>'PIVOT REPORT'!$C$29:$C$30</c:f>
              <c:numCache>
                <c:formatCode>0</c:formatCode>
                <c:ptCount val="2"/>
                <c:pt idx="0">
                  <c:v>266</c:v>
                </c:pt>
                <c:pt idx="1">
                  <c:v>253</c:v>
                </c:pt>
              </c:numCache>
            </c:numRef>
          </c:val>
          <c:extLst>
            <c:ext xmlns:c15="http://schemas.microsoft.com/office/drawing/2012/chart" uri="{02D57815-91ED-43cb-92C2-25804820EDAC}">
              <c15:datalabelsRange>
                <c15:f>'PIVOT REPORT'!$C$42:$C$43</c15:f>
                <c15:dlblRangeCache>
                  <c:ptCount val="2"/>
                  <c:pt idx="0">
                    <c:v>49%</c:v>
                  </c:pt>
                  <c:pt idx="1">
                    <c:v>51%</c:v>
                  </c:pt>
                </c15:dlblRangeCache>
              </c15:datalabelsRange>
            </c:ext>
            <c:ext xmlns:c16="http://schemas.microsoft.com/office/drawing/2014/chart" uri="{C3380CC4-5D6E-409C-BE32-E72D297353CC}">
              <c16:uniqueId val="{00000005-7D13-4C84-9FE8-1E3ADCD104AA}"/>
            </c:ext>
          </c:extLst>
        </c:ser>
        <c:ser>
          <c:idx val="1"/>
          <c:order val="1"/>
          <c:tx>
            <c:strRef>
              <c:f>'PIVOT REPORT'!$C$29:$C$30</c:f>
              <c:strCache>
                <c:ptCount val="1"/>
                <c:pt idx="0">
                  <c:v>Count of Patient Admission Flag</c:v>
                </c:pt>
              </c:strCache>
            </c:strRef>
          </c:tx>
          <c:spPr>
            <a:solidFill>
              <a:schemeClr val="accent2"/>
            </a:solidFill>
            <a:ln>
              <a:noFill/>
            </a:ln>
            <a:effectLst/>
          </c:spPr>
          <c:invertIfNegative val="0"/>
          <c:cat>
            <c:strRef>
              <c:f>'PIVOT REPORT'!$C$29:$C$30</c:f>
              <c:strCache>
                <c:ptCount val="2"/>
                <c:pt idx="0">
                  <c:v>Admitted</c:v>
                </c:pt>
                <c:pt idx="1">
                  <c:v>Not Admitted</c:v>
                </c:pt>
              </c:strCache>
            </c:strRef>
          </c:cat>
          <c:val>
            <c:numRef>
              <c:f>'PIVOT REPORT'!$C$29:$C$30</c:f>
              <c:numCache>
                <c:formatCode>0.00%</c:formatCode>
                <c:ptCount val="2"/>
                <c:pt idx="0">
                  <c:v>0.51252408477842004</c:v>
                </c:pt>
                <c:pt idx="1">
                  <c:v>0.48747591522157996</c:v>
                </c:pt>
              </c:numCache>
            </c:numRef>
          </c:val>
          <c:extLst>
            <c:ext xmlns:c16="http://schemas.microsoft.com/office/drawing/2014/chart" uri="{C3380CC4-5D6E-409C-BE32-E72D297353CC}">
              <c16:uniqueId val="{00000006-7D13-4C84-9FE8-1E3ADCD104AA}"/>
            </c:ext>
          </c:extLst>
        </c:ser>
        <c:dLbls>
          <c:showLegendKey val="0"/>
          <c:showVal val="0"/>
          <c:showCatName val="0"/>
          <c:showSerName val="0"/>
          <c:showPercent val="0"/>
          <c:showBubbleSize val="0"/>
        </c:dLbls>
        <c:gapWidth val="182"/>
        <c:overlap val="1"/>
        <c:axId val="22245135"/>
        <c:axId val="22274895"/>
      </c:barChart>
      <c:catAx>
        <c:axId val="22245135"/>
        <c:scaling>
          <c:orientation val="minMax"/>
        </c:scaling>
        <c:delete val="1"/>
        <c:axPos val="l"/>
        <c:numFmt formatCode="General" sourceLinked="1"/>
        <c:majorTickMark val="none"/>
        <c:minorTickMark val="none"/>
        <c:tickLblPos val="nextTo"/>
        <c:crossAx val="22274895"/>
        <c:crosses val="autoZero"/>
        <c:auto val="0"/>
        <c:lblAlgn val="ctr"/>
        <c:lblOffset val="100"/>
        <c:noMultiLvlLbl val="0"/>
      </c:catAx>
      <c:valAx>
        <c:axId val="2227489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224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6246806941774"/>
          <c:y val="3.875968992248062E-2"/>
          <c:w val="0.85034013605442171"/>
          <c:h val="0.88938053097345138"/>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43D1-4401-B923-4DF7E56471D5}"/>
            </c:ext>
          </c:extLst>
        </c:ser>
        <c:dLbls>
          <c:showLegendKey val="0"/>
          <c:showVal val="0"/>
          <c:showCatName val="0"/>
          <c:showSerName val="0"/>
          <c:showPercent val="0"/>
          <c:showBubbleSize val="0"/>
        </c:dLbls>
        <c:axId val="22231695"/>
        <c:axId val="22215855"/>
      </c:areaChart>
      <c:catAx>
        <c:axId val="22231695"/>
        <c:scaling>
          <c:orientation val="minMax"/>
        </c:scaling>
        <c:delete val="1"/>
        <c:axPos val="b"/>
        <c:numFmt formatCode="General" sourceLinked="1"/>
        <c:majorTickMark val="out"/>
        <c:minorTickMark val="none"/>
        <c:tickLblPos val="nextTo"/>
        <c:crossAx val="22215855"/>
        <c:crosses val="autoZero"/>
        <c:auto val="1"/>
        <c:lblAlgn val="ctr"/>
        <c:lblOffset val="100"/>
        <c:noMultiLvlLbl val="0"/>
      </c:catAx>
      <c:valAx>
        <c:axId val="22215855"/>
        <c:scaling>
          <c:orientation val="minMax"/>
        </c:scaling>
        <c:delete val="1"/>
        <c:axPos val="l"/>
        <c:numFmt formatCode="General" sourceLinked="1"/>
        <c:majorTickMark val="none"/>
        <c:minorTickMark val="none"/>
        <c:tickLblPos val="nextTo"/>
        <c:crossAx val="2223169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35381877574917E-2"/>
          <c:y val="0.19972317913385829"/>
          <c:w val="0.79323308270676696"/>
          <c:h val="0.55645161290322576"/>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REPORT'!$J$5:$J$36</c:f>
              <c:numCache>
                <c:formatCode>0.00</c:formatCode>
                <c:ptCount val="31"/>
                <c:pt idx="0">
                  <c:v>31.708333333333332</c:v>
                </c:pt>
                <c:pt idx="1">
                  <c:v>28.923076923076923</c:v>
                </c:pt>
                <c:pt idx="2">
                  <c:v>42.071428571428569</c:v>
                </c:pt>
                <c:pt idx="3">
                  <c:v>35.833333333333336</c:v>
                </c:pt>
                <c:pt idx="4">
                  <c:v>28.727272727272727</c:v>
                </c:pt>
                <c:pt idx="5">
                  <c:v>35.75</c:v>
                </c:pt>
                <c:pt idx="6">
                  <c:v>34.75</c:v>
                </c:pt>
                <c:pt idx="7">
                  <c:v>37.666666666666664</c:v>
                </c:pt>
                <c:pt idx="8">
                  <c:v>40.421052631578945</c:v>
                </c:pt>
                <c:pt idx="9">
                  <c:v>33.75</c:v>
                </c:pt>
                <c:pt idx="10">
                  <c:v>35.642857142857146</c:v>
                </c:pt>
                <c:pt idx="11">
                  <c:v>32.764705882352942</c:v>
                </c:pt>
                <c:pt idx="12">
                  <c:v>37.357142857142854</c:v>
                </c:pt>
                <c:pt idx="13">
                  <c:v>37.227272727272727</c:v>
                </c:pt>
                <c:pt idx="14">
                  <c:v>36.700000000000003</c:v>
                </c:pt>
                <c:pt idx="15">
                  <c:v>43.058823529411768</c:v>
                </c:pt>
                <c:pt idx="16">
                  <c:v>39.777777777777779</c:v>
                </c:pt>
                <c:pt idx="17">
                  <c:v>40.692307692307693</c:v>
                </c:pt>
                <c:pt idx="18">
                  <c:v>34.46153846153846</c:v>
                </c:pt>
                <c:pt idx="19">
                  <c:v>30.307692307692307</c:v>
                </c:pt>
                <c:pt idx="20">
                  <c:v>38.5</c:v>
                </c:pt>
                <c:pt idx="21">
                  <c:v>27</c:v>
                </c:pt>
                <c:pt idx="22">
                  <c:v>35.333333333333336</c:v>
                </c:pt>
                <c:pt idx="23">
                  <c:v>32.421052631578945</c:v>
                </c:pt>
                <c:pt idx="24">
                  <c:v>36.047619047619051</c:v>
                </c:pt>
                <c:pt idx="25">
                  <c:v>38.866666666666667</c:v>
                </c:pt>
                <c:pt idx="26">
                  <c:v>35.909090909090907</c:v>
                </c:pt>
                <c:pt idx="27">
                  <c:v>38.470588235294116</c:v>
                </c:pt>
                <c:pt idx="28">
                  <c:v>36.733333333333334</c:v>
                </c:pt>
                <c:pt idx="29">
                  <c:v>34.588235294117645</c:v>
                </c:pt>
                <c:pt idx="30">
                  <c:v>37.53846153846154</c:v>
                </c:pt>
              </c:numCache>
            </c:numRef>
          </c:val>
          <c:extLst>
            <c:ext xmlns:c16="http://schemas.microsoft.com/office/drawing/2014/chart" uri="{C3380CC4-5D6E-409C-BE32-E72D297353CC}">
              <c16:uniqueId val="{00000001-2012-4F1F-B382-A1079A0F2DCE}"/>
            </c:ext>
          </c:extLst>
        </c:ser>
        <c:dLbls>
          <c:showLegendKey val="0"/>
          <c:showVal val="0"/>
          <c:showCatName val="0"/>
          <c:showSerName val="0"/>
          <c:showPercent val="0"/>
          <c:showBubbleSize val="0"/>
        </c:dLbls>
        <c:axId val="22196175"/>
        <c:axId val="22197135"/>
      </c:areaChart>
      <c:catAx>
        <c:axId val="22196175"/>
        <c:scaling>
          <c:orientation val="minMax"/>
        </c:scaling>
        <c:delete val="1"/>
        <c:axPos val="b"/>
        <c:numFmt formatCode="General" sourceLinked="1"/>
        <c:majorTickMark val="out"/>
        <c:minorTickMark val="none"/>
        <c:tickLblPos val="nextTo"/>
        <c:crossAx val="22197135"/>
        <c:crosses val="autoZero"/>
        <c:auto val="1"/>
        <c:lblAlgn val="ctr"/>
        <c:lblOffset val="100"/>
        <c:noMultiLvlLbl val="0"/>
      </c:catAx>
      <c:valAx>
        <c:axId val="22197135"/>
        <c:scaling>
          <c:orientation val="minMax"/>
        </c:scaling>
        <c:delete val="1"/>
        <c:axPos val="l"/>
        <c:numFmt formatCode="0.00" sourceLinked="1"/>
        <c:majorTickMark val="none"/>
        <c:minorTickMark val="none"/>
        <c:tickLblPos val="nextTo"/>
        <c:crossAx val="22196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7313432835820898"/>
          <c:w val="1"/>
          <c:h val="0.47761194029850745"/>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REPORT'!$N$5:$N$36</c:f>
              <c:numCache>
                <c:formatCode>0.00</c:formatCode>
                <c:ptCount val="31"/>
                <c:pt idx="0">
                  <c:v>4.5999999999999996</c:v>
                </c:pt>
                <c:pt idx="1">
                  <c:v>6.5</c:v>
                </c:pt>
                <c:pt idx="2">
                  <c:v>5</c:v>
                </c:pt>
                <c:pt idx="3">
                  <c:v>6</c:v>
                </c:pt>
                <c:pt idx="4">
                  <c:v>4.7142857142857144</c:v>
                </c:pt>
                <c:pt idx="5">
                  <c:v>4.2</c:v>
                </c:pt>
                <c:pt idx="6">
                  <c:v>7.2</c:v>
                </c:pt>
                <c:pt idx="7">
                  <c:v>4.333333333333333</c:v>
                </c:pt>
                <c:pt idx="8">
                  <c:v>3.7777777777777777</c:v>
                </c:pt>
                <c:pt idx="9">
                  <c:v>3.6666666666666665</c:v>
                </c:pt>
                <c:pt idx="10">
                  <c:v>7.4</c:v>
                </c:pt>
                <c:pt idx="11">
                  <c:v>4</c:v>
                </c:pt>
                <c:pt idx="12">
                  <c:v>5.833333333333333</c:v>
                </c:pt>
                <c:pt idx="13">
                  <c:v>5.666666666666667</c:v>
                </c:pt>
                <c:pt idx="14">
                  <c:v>5.5</c:v>
                </c:pt>
                <c:pt idx="15">
                  <c:v>5.5</c:v>
                </c:pt>
                <c:pt idx="16">
                  <c:v>7</c:v>
                </c:pt>
                <c:pt idx="17">
                  <c:v>7</c:v>
                </c:pt>
                <c:pt idx="18">
                  <c:v>4</c:v>
                </c:pt>
                <c:pt idx="19">
                  <c:v>4.4444444444444446</c:v>
                </c:pt>
                <c:pt idx="20">
                  <c:v>4.8571428571428568</c:v>
                </c:pt>
                <c:pt idx="21">
                  <c:v>5.6</c:v>
                </c:pt>
                <c:pt idx="22">
                  <c:v>5.5714285714285712</c:v>
                </c:pt>
                <c:pt idx="23">
                  <c:v>6</c:v>
                </c:pt>
                <c:pt idx="24">
                  <c:v>6.7142857142857144</c:v>
                </c:pt>
                <c:pt idx="25">
                  <c:v>6</c:v>
                </c:pt>
                <c:pt idx="26">
                  <c:v>4</c:v>
                </c:pt>
                <c:pt idx="27">
                  <c:v>4.7142857142857144</c:v>
                </c:pt>
                <c:pt idx="28">
                  <c:v>1.8</c:v>
                </c:pt>
                <c:pt idx="29">
                  <c:v>4.833333333333333</c:v>
                </c:pt>
                <c:pt idx="30">
                  <c:v>4.25</c:v>
                </c:pt>
              </c:numCache>
            </c:numRef>
          </c:val>
          <c:extLst>
            <c:ext xmlns:c16="http://schemas.microsoft.com/office/drawing/2014/chart" uri="{C3380CC4-5D6E-409C-BE32-E72D297353CC}">
              <c16:uniqueId val="{00000001-8DBB-4C75-A4BF-A8725F0923BF}"/>
            </c:ext>
          </c:extLst>
        </c:ser>
        <c:dLbls>
          <c:showLegendKey val="0"/>
          <c:showVal val="0"/>
          <c:showCatName val="0"/>
          <c:showSerName val="0"/>
          <c:showPercent val="0"/>
          <c:showBubbleSize val="0"/>
        </c:dLbls>
        <c:axId val="22238415"/>
        <c:axId val="22235055"/>
      </c:areaChart>
      <c:catAx>
        <c:axId val="22238415"/>
        <c:scaling>
          <c:orientation val="minMax"/>
        </c:scaling>
        <c:delete val="1"/>
        <c:axPos val="b"/>
        <c:numFmt formatCode="General" sourceLinked="1"/>
        <c:majorTickMark val="out"/>
        <c:minorTickMark val="none"/>
        <c:tickLblPos val="nextTo"/>
        <c:crossAx val="22235055"/>
        <c:crosses val="autoZero"/>
        <c:auto val="1"/>
        <c:lblAlgn val="ctr"/>
        <c:lblOffset val="100"/>
        <c:noMultiLvlLbl val="0"/>
      </c:catAx>
      <c:valAx>
        <c:axId val="22235055"/>
        <c:scaling>
          <c:orientation val="minMax"/>
        </c:scaling>
        <c:delete val="1"/>
        <c:axPos val="l"/>
        <c:numFmt formatCode="0.00" sourceLinked="1"/>
        <c:majorTickMark val="none"/>
        <c:minorTickMark val="none"/>
        <c:tickLblPos val="nextTo"/>
        <c:crossAx val="22238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4204505686789155"/>
        </c:manualLayout>
      </c:layout>
      <c:barChart>
        <c:barDir val="col"/>
        <c:grouping val="clustered"/>
        <c:varyColors val="0"/>
        <c:ser>
          <c:idx val="0"/>
          <c:order val="0"/>
          <c:tx>
            <c:strRef>
              <c:f>'PIVOT REPORT'!$B$47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REPORT'!$A$48:$A$56</c:f>
              <c:strCache>
                <c:ptCount val="8"/>
                <c:pt idx="0">
                  <c:v>0-9</c:v>
                </c:pt>
                <c:pt idx="1">
                  <c:v>10-19</c:v>
                </c:pt>
                <c:pt idx="2">
                  <c:v>20-29</c:v>
                </c:pt>
                <c:pt idx="3">
                  <c:v>30-39</c:v>
                </c:pt>
                <c:pt idx="4">
                  <c:v>40_49</c:v>
                </c:pt>
                <c:pt idx="5">
                  <c:v>50-59</c:v>
                </c:pt>
                <c:pt idx="6">
                  <c:v>60-69</c:v>
                </c:pt>
                <c:pt idx="7">
                  <c:v>70-79</c:v>
                </c:pt>
              </c:strCache>
            </c:strRef>
          </c:cat>
          <c:val>
            <c:numRef>
              <c:f>'PIVOT REPORT'!$B$48:$B$56</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1-3299-47F8-A25E-00042C32DCB7}"/>
            </c:ext>
          </c:extLst>
        </c:ser>
        <c:dLbls>
          <c:showLegendKey val="0"/>
          <c:showVal val="0"/>
          <c:showCatName val="0"/>
          <c:showSerName val="0"/>
          <c:showPercent val="0"/>
          <c:showBubbleSize val="0"/>
        </c:dLbls>
        <c:gapWidth val="219"/>
        <c:overlap val="-27"/>
        <c:axId val="448488192"/>
        <c:axId val="448489632"/>
      </c:barChart>
      <c:catAx>
        <c:axId val="44848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89632"/>
        <c:crosses val="autoZero"/>
        <c:auto val="1"/>
        <c:lblAlgn val="ctr"/>
        <c:lblOffset val="100"/>
        <c:noMultiLvlLbl val="0"/>
      </c:catAx>
      <c:valAx>
        <c:axId val="4484896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4848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REPORT!PivotTable28</c:name>
    <c:fmtId val="35"/>
  </c:pivotSource>
  <c:chart>
    <c:autoTitleDeleted val="1"/>
    <c:pivotFmts>
      <c:pivotFmt>
        <c:idx val="0"/>
      </c:pivotFmt>
      <c:pivotFmt>
        <c:idx val="1"/>
      </c:pivotFmt>
      <c:pivotFmt>
        <c:idx val="2"/>
      </c:pivotFmt>
      <c:pivotFmt>
        <c:idx val="3"/>
      </c:pivotFmt>
      <c:pivotFmt>
        <c:idx val="4"/>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923566878980892E-2"/>
          <c:y val="0"/>
          <c:w val="0.92144415467174878"/>
          <c:h val="1"/>
        </c:manualLayout>
      </c:layout>
      <c:pie3DChart>
        <c:varyColors val="1"/>
        <c:ser>
          <c:idx val="0"/>
          <c:order val="0"/>
          <c:tx>
            <c:strRef>
              <c:f>'PIVOT REPORT'!$B$65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 Time</c:v>
                </c:pt>
              </c:strCache>
            </c:strRef>
          </c:cat>
          <c:val>
            <c:numRef>
              <c:f>'PIVOT REPORT'!$B$66:$B$68</c:f>
              <c:numCache>
                <c:formatCode>0</c:formatCode>
                <c:ptCount val="2"/>
                <c:pt idx="0">
                  <c:v>324</c:v>
                </c:pt>
                <c:pt idx="1">
                  <c:v>195</c:v>
                </c:pt>
              </c:numCache>
            </c:numRef>
          </c:val>
          <c:extLst>
            <c:ext xmlns:c16="http://schemas.microsoft.com/office/drawing/2014/chart" uri="{C3380CC4-5D6E-409C-BE32-E72D297353CC}">
              <c16:uniqueId val="{0000000B-2451-4122-BB24-81026CAC8D7D}"/>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6.1571543206780675E-2"/>
          <c:y val="3.7063076897440615E-2"/>
          <c:w val="0.91454310647474812"/>
          <c:h val="0.14021728296621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REPORT!PivotTable29</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694842780414037"/>
          <c:y val="0.12956455882754292"/>
          <c:w val="0.70033112582781443"/>
          <c:h val="0.61089353456510453"/>
        </c:manualLayout>
      </c:layout>
      <c:doughnutChart>
        <c:varyColors val="1"/>
        <c:ser>
          <c:idx val="0"/>
          <c:order val="0"/>
          <c:tx>
            <c:strRef>
              <c:f>'PIVOT REPORT'!$B$59</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REPORT'!$A$60:$A$62</c:f>
              <c:strCache>
                <c:ptCount val="2"/>
                <c:pt idx="0">
                  <c:v>Female</c:v>
                </c:pt>
                <c:pt idx="1">
                  <c:v>Male</c:v>
                </c:pt>
              </c:strCache>
            </c:strRef>
          </c:cat>
          <c:val>
            <c:numRef>
              <c:f>'PIVOT REPORT'!$B$60:$B$62</c:f>
              <c:numCache>
                <c:formatCode>0</c:formatCode>
                <c:ptCount val="2"/>
                <c:pt idx="0">
                  <c:v>254</c:v>
                </c:pt>
                <c:pt idx="1">
                  <c:v>265</c:v>
                </c:pt>
              </c:numCache>
            </c:numRef>
          </c:val>
          <c:extLst>
            <c:ext xmlns:c16="http://schemas.microsoft.com/office/drawing/2014/chart" uri="{C3380CC4-5D6E-409C-BE32-E72D297353CC}">
              <c16:uniqueId val="{00000005-456D-45A0-8F4F-68A09B69BF22}"/>
            </c:ext>
          </c:extLst>
        </c:ser>
        <c:dLbls>
          <c:showLegendKey val="0"/>
          <c:showVal val="0"/>
          <c:showCatName val="0"/>
          <c:showSerName val="0"/>
          <c:showPercent val="1"/>
          <c:showBubbleSize val="0"/>
          <c:showLeaderLines val="1"/>
        </c:dLbls>
        <c:firstSliceAng val="0"/>
        <c:holeSize val="37"/>
      </c:doughnutChart>
      <c:spPr>
        <a:noFill/>
        <a:ln>
          <a:noFill/>
        </a:ln>
        <a:effectLst/>
      </c:spPr>
    </c:plotArea>
    <c:legend>
      <c:legendPos val="r"/>
      <c:layout>
        <c:manualLayout>
          <c:xMode val="edge"/>
          <c:yMode val="edge"/>
          <c:x val="4.2238749543724252E-2"/>
          <c:y val="3.557035379310972E-3"/>
          <c:w val="0.86178861788617889"/>
          <c:h val="0.1335912411415263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REPORT!PivotTable30</c:name>
    <c:fmtId val="4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REPORT'!$A$71:$A$79</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 REPORT'!$B$71:$B$79</c:f>
              <c:numCache>
                <c:formatCode>0</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3-27AF-4E03-8F91-C1C3B212BBA8}"/>
            </c:ext>
          </c:extLst>
        </c:ser>
        <c:dLbls>
          <c:showLegendKey val="0"/>
          <c:showVal val="0"/>
          <c:showCatName val="0"/>
          <c:showSerName val="0"/>
          <c:showPercent val="0"/>
          <c:showBubbleSize val="0"/>
        </c:dLbls>
        <c:gapWidth val="204"/>
        <c:axId val="489624799"/>
        <c:axId val="489620959"/>
      </c:barChart>
      <c:catAx>
        <c:axId val="48962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9620959"/>
        <c:crosses val="autoZero"/>
        <c:auto val="1"/>
        <c:lblAlgn val="ctr"/>
        <c:lblOffset val="100"/>
        <c:noMultiLvlLbl val="0"/>
      </c:catAx>
      <c:valAx>
        <c:axId val="489620959"/>
        <c:scaling>
          <c:orientation val="minMax"/>
        </c:scaling>
        <c:delete val="1"/>
        <c:axPos val="b"/>
        <c:numFmt formatCode="0" sourceLinked="1"/>
        <c:majorTickMark val="none"/>
        <c:minorTickMark val="none"/>
        <c:tickLblPos val="nextTo"/>
        <c:crossAx val="4896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REPORT'!$N$5:$N$36</c:f>
              <c:numCache>
                <c:formatCode>0.00</c:formatCode>
                <c:ptCount val="31"/>
                <c:pt idx="0">
                  <c:v>4.5999999999999996</c:v>
                </c:pt>
                <c:pt idx="1">
                  <c:v>6.5</c:v>
                </c:pt>
                <c:pt idx="2">
                  <c:v>5</c:v>
                </c:pt>
                <c:pt idx="3">
                  <c:v>6</c:v>
                </c:pt>
                <c:pt idx="4">
                  <c:v>4.7142857142857144</c:v>
                </c:pt>
                <c:pt idx="5">
                  <c:v>4.2</c:v>
                </c:pt>
                <c:pt idx="6">
                  <c:v>7.2</c:v>
                </c:pt>
                <c:pt idx="7">
                  <c:v>4.333333333333333</c:v>
                </c:pt>
                <c:pt idx="8">
                  <c:v>3.7777777777777777</c:v>
                </c:pt>
                <c:pt idx="9">
                  <c:v>3.6666666666666665</c:v>
                </c:pt>
                <c:pt idx="10">
                  <c:v>7.4</c:v>
                </c:pt>
                <c:pt idx="11">
                  <c:v>4</c:v>
                </c:pt>
                <c:pt idx="12">
                  <c:v>5.833333333333333</c:v>
                </c:pt>
                <c:pt idx="13">
                  <c:v>5.666666666666667</c:v>
                </c:pt>
                <c:pt idx="14">
                  <c:v>5.5</c:v>
                </c:pt>
                <c:pt idx="15">
                  <c:v>5.5</c:v>
                </c:pt>
                <c:pt idx="16">
                  <c:v>7</c:v>
                </c:pt>
                <c:pt idx="17">
                  <c:v>7</c:v>
                </c:pt>
                <c:pt idx="18">
                  <c:v>4</c:v>
                </c:pt>
                <c:pt idx="19">
                  <c:v>4.4444444444444446</c:v>
                </c:pt>
                <c:pt idx="20">
                  <c:v>4.8571428571428568</c:v>
                </c:pt>
                <c:pt idx="21">
                  <c:v>5.6</c:v>
                </c:pt>
                <c:pt idx="22">
                  <c:v>5.5714285714285712</c:v>
                </c:pt>
                <c:pt idx="23">
                  <c:v>6</c:v>
                </c:pt>
                <c:pt idx="24">
                  <c:v>6.7142857142857144</c:v>
                </c:pt>
                <c:pt idx="25">
                  <c:v>6</c:v>
                </c:pt>
                <c:pt idx="26">
                  <c:v>4</c:v>
                </c:pt>
                <c:pt idx="27">
                  <c:v>4.7142857142857144</c:v>
                </c:pt>
                <c:pt idx="28">
                  <c:v>1.8</c:v>
                </c:pt>
                <c:pt idx="29">
                  <c:v>4.833333333333333</c:v>
                </c:pt>
                <c:pt idx="30">
                  <c:v>4.25</c:v>
                </c:pt>
              </c:numCache>
            </c:numRef>
          </c:val>
          <c:extLst>
            <c:ext xmlns:c16="http://schemas.microsoft.com/office/drawing/2014/chart" uri="{C3380CC4-5D6E-409C-BE32-E72D297353CC}">
              <c16:uniqueId val="{00000001-9C1E-459F-A4A2-D9527884D2E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238415"/>
        <c:axId val="22235055"/>
      </c:areaChart>
      <c:catAx>
        <c:axId val="22238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35055"/>
        <c:crosses val="autoZero"/>
        <c:auto val="1"/>
        <c:lblAlgn val="ctr"/>
        <c:lblOffset val="100"/>
        <c:noMultiLvlLbl val="0"/>
      </c:catAx>
      <c:valAx>
        <c:axId val="22235055"/>
        <c:scaling>
          <c:orientation val="minMax"/>
        </c:scaling>
        <c:delete val="1"/>
        <c:axPos val="l"/>
        <c:numFmt formatCode="0.00" sourceLinked="1"/>
        <c:majorTickMark val="out"/>
        <c:minorTickMark val="none"/>
        <c:tickLblPos val="nextTo"/>
        <c:crossAx val="222384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32377849320558E-2"/>
          <c:y val="0.11494252873563218"/>
          <c:w val="0.92676079283193047"/>
          <c:h val="0.64085766708628511"/>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10-May</c:v>
                </c:pt>
                <c:pt idx="1">
                  <c:v>11-May</c:v>
                </c:pt>
                <c:pt idx="2">
                  <c:v>12-May</c:v>
                </c:pt>
                <c:pt idx="3">
                  <c:v>13-May</c:v>
                </c:pt>
                <c:pt idx="4">
                  <c:v>14-May</c:v>
                </c:pt>
                <c:pt idx="5">
                  <c:v>15-May</c:v>
                </c:pt>
                <c:pt idx="6">
                  <c:v>16-May</c:v>
                </c:pt>
                <c:pt idx="7">
                  <c:v>17-May</c:v>
                </c:pt>
                <c:pt idx="8">
                  <c:v>18-May</c:v>
                </c:pt>
                <c:pt idx="9">
                  <c:v>19-May</c:v>
                </c:pt>
                <c:pt idx="10">
                  <c:v>1-May</c:v>
                </c:pt>
                <c:pt idx="11">
                  <c:v>20-May</c:v>
                </c:pt>
                <c:pt idx="12">
                  <c:v>21-May</c:v>
                </c:pt>
                <c:pt idx="13">
                  <c:v>22-May</c:v>
                </c:pt>
                <c:pt idx="14">
                  <c:v>23-May</c:v>
                </c:pt>
                <c:pt idx="15">
                  <c:v>24-May</c:v>
                </c:pt>
                <c:pt idx="16">
                  <c:v>25-May</c:v>
                </c:pt>
                <c:pt idx="17">
                  <c:v>26-May</c:v>
                </c:pt>
                <c:pt idx="18">
                  <c:v>27-May</c:v>
                </c:pt>
                <c:pt idx="19">
                  <c:v>28-May</c:v>
                </c:pt>
                <c:pt idx="20">
                  <c:v>29-May</c:v>
                </c:pt>
                <c:pt idx="21">
                  <c:v>2-May</c:v>
                </c:pt>
                <c:pt idx="22">
                  <c:v>30-May</c:v>
                </c:pt>
                <c:pt idx="23">
                  <c:v>31-May</c:v>
                </c:pt>
                <c:pt idx="24">
                  <c:v>3-May</c:v>
                </c:pt>
                <c:pt idx="25">
                  <c:v>4-May</c:v>
                </c:pt>
                <c:pt idx="26">
                  <c:v>5-May</c:v>
                </c:pt>
                <c:pt idx="27">
                  <c:v>6-May</c:v>
                </c:pt>
                <c:pt idx="28">
                  <c:v>7-May</c:v>
                </c:pt>
                <c:pt idx="29">
                  <c:v>8-May</c:v>
                </c:pt>
                <c:pt idx="30">
                  <c:v>9-May</c:v>
                </c:pt>
              </c:strCache>
            </c:strRef>
          </c:cat>
          <c:val>
            <c:numRef>
              <c:f>'PIVOT REPORT'!$J$5:$J$36</c:f>
              <c:numCache>
                <c:formatCode>0.00</c:formatCode>
                <c:ptCount val="31"/>
                <c:pt idx="0">
                  <c:v>31.708333333333332</c:v>
                </c:pt>
                <c:pt idx="1">
                  <c:v>28.923076923076923</c:v>
                </c:pt>
                <c:pt idx="2">
                  <c:v>42.071428571428569</c:v>
                </c:pt>
                <c:pt idx="3">
                  <c:v>35.833333333333336</c:v>
                </c:pt>
                <c:pt idx="4">
                  <c:v>28.727272727272727</c:v>
                </c:pt>
                <c:pt idx="5">
                  <c:v>35.75</c:v>
                </c:pt>
                <c:pt idx="6">
                  <c:v>34.75</c:v>
                </c:pt>
                <c:pt idx="7">
                  <c:v>37.666666666666664</c:v>
                </c:pt>
                <c:pt idx="8">
                  <c:v>40.421052631578945</c:v>
                </c:pt>
                <c:pt idx="9">
                  <c:v>33.75</c:v>
                </c:pt>
                <c:pt idx="10">
                  <c:v>35.642857142857146</c:v>
                </c:pt>
                <c:pt idx="11">
                  <c:v>32.764705882352942</c:v>
                </c:pt>
                <c:pt idx="12">
                  <c:v>37.357142857142854</c:v>
                </c:pt>
                <c:pt idx="13">
                  <c:v>37.227272727272727</c:v>
                </c:pt>
                <c:pt idx="14">
                  <c:v>36.700000000000003</c:v>
                </c:pt>
                <c:pt idx="15">
                  <c:v>43.058823529411768</c:v>
                </c:pt>
                <c:pt idx="16">
                  <c:v>39.777777777777779</c:v>
                </c:pt>
                <c:pt idx="17">
                  <c:v>40.692307692307693</c:v>
                </c:pt>
                <c:pt idx="18">
                  <c:v>34.46153846153846</c:v>
                </c:pt>
                <c:pt idx="19">
                  <c:v>30.307692307692307</c:v>
                </c:pt>
                <c:pt idx="20">
                  <c:v>38.5</c:v>
                </c:pt>
                <c:pt idx="21">
                  <c:v>27</c:v>
                </c:pt>
                <c:pt idx="22">
                  <c:v>35.333333333333336</c:v>
                </c:pt>
                <c:pt idx="23">
                  <c:v>32.421052631578945</c:v>
                </c:pt>
                <c:pt idx="24">
                  <c:v>36.047619047619051</c:v>
                </c:pt>
                <c:pt idx="25">
                  <c:v>38.866666666666667</c:v>
                </c:pt>
                <c:pt idx="26">
                  <c:v>35.909090909090907</c:v>
                </c:pt>
                <c:pt idx="27">
                  <c:v>38.470588235294116</c:v>
                </c:pt>
                <c:pt idx="28">
                  <c:v>36.733333333333334</c:v>
                </c:pt>
                <c:pt idx="29">
                  <c:v>34.588235294117645</c:v>
                </c:pt>
                <c:pt idx="30">
                  <c:v>37.53846153846154</c:v>
                </c:pt>
              </c:numCache>
            </c:numRef>
          </c:val>
          <c:extLst>
            <c:ext xmlns:c16="http://schemas.microsoft.com/office/drawing/2014/chart" uri="{C3380CC4-5D6E-409C-BE32-E72D297353CC}">
              <c16:uniqueId val="{00000003-EE0E-4536-953D-115B39FD7ED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231695"/>
        <c:axId val="22215855"/>
      </c:areaChart>
      <c:catAx>
        <c:axId val="222316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15855"/>
        <c:crosses val="autoZero"/>
        <c:auto val="1"/>
        <c:lblAlgn val="ctr"/>
        <c:lblOffset val="100"/>
        <c:noMultiLvlLbl val="0"/>
      </c:catAx>
      <c:valAx>
        <c:axId val="22215855"/>
        <c:scaling>
          <c:orientation val="minMax"/>
        </c:scaling>
        <c:delete val="1"/>
        <c:axPos val="l"/>
        <c:numFmt formatCode="0.00" sourceLinked="1"/>
        <c:majorTickMark val="out"/>
        <c:minorTickMark val="none"/>
        <c:tickLblPos val="nextTo"/>
        <c:crossAx val="22231695"/>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REPORT!PivotTable23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32377849320558E-2"/>
          <c:y val="0.11494252873563218"/>
          <c:w val="0.92676079283193047"/>
          <c:h val="0.64085766708628511"/>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2697-4F73-B4FE-5281947EAF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231695"/>
        <c:axId val="22215855"/>
      </c:areaChart>
      <c:catAx>
        <c:axId val="222316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15855"/>
        <c:crosses val="autoZero"/>
        <c:auto val="1"/>
        <c:lblAlgn val="ctr"/>
        <c:lblOffset val="100"/>
        <c:noMultiLvlLbl val="0"/>
      </c:catAx>
      <c:valAx>
        <c:axId val="22215855"/>
        <c:scaling>
          <c:orientation val="minMax"/>
        </c:scaling>
        <c:delete val="1"/>
        <c:axPos val="l"/>
        <c:numFmt formatCode="General" sourceLinked="1"/>
        <c:majorTickMark val="out"/>
        <c:minorTickMark val="none"/>
        <c:tickLblPos val="nextTo"/>
        <c:crossAx val="22231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hyperlink" Target="#'Average Wait Time '!A1"/><Relationship Id="rId16" Type="http://schemas.openxmlformats.org/officeDocument/2006/relationships/chart" Target="../charts/chart6.xml"/><Relationship Id="rId1" Type="http://schemas.openxmlformats.org/officeDocument/2006/relationships/hyperlink" Target="#'Daily ER Patient'!A1"/><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7.png"/><Relationship Id="rId4" Type="http://schemas.openxmlformats.org/officeDocument/2006/relationships/image" Target="../media/image2.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7620</xdr:colOff>
      <xdr:row>40</xdr:row>
      <xdr:rowOff>106680</xdr:rowOff>
    </xdr:from>
    <xdr:to>
      <xdr:col>4</xdr:col>
      <xdr:colOff>7620</xdr:colOff>
      <xdr:row>43</xdr:row>
      <xdr:rowOff>129540</xdr:rowOff>
    </xdr:to>
    <xdr:graphicFrame macro="">
      <xdr:nvGraphicFramePr>
        <xdr:cNvPr id="8" name="Chart 7">
          <a:extLst>
            <a:ext uri="{FF2B5EF4-FFF2-40B4-BE49-F238E27FC236}">
              <a16:creationId xmlns:a16="http://schemas.microsoft.com/office/drawing/2014/main" id="{6F024992-FADE-A0FB-9355-09D507F56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22860</xdr:rowOff>
    </xdr:from>
    <xdr:to>
      <xdr:col>5</xdr:col>
      <xdr:colOff>604520</xdr:colOff>
      <xdr:row>5</xdr:row>
      <xdr:rowOff>53340</xdr:rowOff>
    </xdr:to>
    <xdr:sp macro="" textlink="">
      <xdr:nvSpPr>
        <xdr:cNvPr id="2" name="Rectangle: Rounded Corners 1">
          <a:extLst>
            <a:ext uri="{FF2B5EF4-FFF2-40B4-BE49-F238E27FC236}">
              <a16:creationId xmlns:a16="http://schemas.microsoft.com/office/drawing/2014/main" id="{7DA64620-BFBD-9115-380D-CB9B2FAFF385}"/>
            </a:ext>
          </a:extLst>
        </xdr:cNvPr>
        <xdr:cNvSpPr/>
      </xdr:nvSpPr>
      <xdr:spPr>
        <a:xfrm>
          <a:off x="0" y="22860"/>
          <a:ext cx="3647440" cy="944880"/>
        </a:xfrm>
        <a:prstGeom prst="roundRect">
          <a:avLst>
            <a:gd name="adj" fmla="val 4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20320</xdr:colOff>
      <xdr:row>0</xdr:row>
      <xdr:rowOff>0</xdr:rowOff>
    </xdr:from>
    <xdr:to>
      <xdr:col>8</xdr:col>
      <xdr:colOff>495661</xdr:colOff>
      <xdr:row>5</xdr:row>
      <xdr:rowOff>66040</xdr:rowOff>
    </xdr:to>
    <xdr:sp macro="" textlink="">
      <xdr:nvSpPr>
        <xdr:cNvPr id="3" name="Rectangle: Rounded Corners 2">
          <a:extLst>
            <a:ext uri="{FF2B5EF4-FFF2-40B4-BE49-F238E27FC236}">
              <a16:creationId xmlns:a16="http://schemas.microsoft.com/office/drawing/2014/main" id="{B42B9DF5-8F15-452B-0B97-B8D47EA03760}"/>
            </a:ext>
          </a:extLst>
        </xdr:cNvPr>
        <xdr:cNvSpPr/>
      </xdr:nvSpPr>
      <xdr:spPr>
        <a:xfrm>
          <a:off x="3672840" y="0"/>
          <a:ext cx="1694541" cy="980440"/>
        </a:xfrm>
        <a:prstGeom prst="roundRect">
          <a:avLst>
            <a:gd name="adj" fmla="val 35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538480</xdr:colOff>
      <xdr:row>0</xdr:row>
      <xdr:rowOff>14514</xdr:rowOff>
    </xdr:from>
    <xdr:to>
      <xdr:col>11</xdr:col>
      <xdr:colOff>294279</xdr:colOff>
      <xdr:row>8</xdr:row>
      <xdr:rowOff>152400</xdr:rowOff>
    </xdr:to>
    <xdr:sp macro="" textlink="">
      <xdr:nvSpPr>
        <xdr:cNvPr id="4" name="Rectangle: Rounded Corners 3">
          <a:extLst>
            <a:ext uri="{FF2B5EF4-FFF2-40B4-BE49-F238E27FC236}">
              <a16:creationId xmlns:a16="http://schemas.microsoft.com/office/drawing/2014/main" id="{35CCEBF1-6AE0-83AB-9024-B647AC327BD7}"/>
            </a:ext>
          </a:extLst>
        </xdr:cNvPr>
        <xdr:cNvSpPr/>
      </xdr:nvSpPr>
      <xdr:spPr>
        <a:xfrm>
          <a:off x="5410200" y="14514"/>
          <a:ext cx="1584599" cy="1600926"/>
        </a:xfrm>
        <a:prstGeom prst="roundRect">
          <a:avLst>
            <a:gd name="adj" fmla="val 52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325120</xdr:colOff>
      <xdr:row>0</xdr:row>
      <xdr:rowOff>3266</xdr:rowOff>
    </xdr:from>
    <xdr:to>
      <xdr:col>14</xdr:col>
      <xdr:colOff>81282</xdr:colOff>
      <xdr:row>8</xdr:row>
      <xdr:rowOff>152400</xdr:rowOff>
    </xdr:to>
    <xdr:sp macro="" textlink="">
      <xdr:nvSpPr>
        <xdr:cNvPr id="7" name="Rectangle: Rounded Corners 6">
          <a:extLst>
            <a:ext uri="{FF2B5EF4-FFF2-40B4-BE49-F238E27FC236}">
              <a16:creationId xmlns:a16="http://schemas.microsoft.com/office/drawing/2014/main" id="{70114DCF-0568-51C0-F413-3BBD013FADCF}"/>
            </a:ext>
          </a:extLst>
        </xdr:cNvPr>
        <xdr:cNvSpPr/>
      </xdr:nvSpPr>
      <xdr:spPr>
        <a:xfrm>
          <a:off x="7025640" y="3266"/>
          <a:ext cx="1584962" cy="1612174"/>
        </a:xfrm>
        <a:prstGeom prst="roundRect">
          <a:avLst>
            <a:gd name="adj" fmla="val 17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27214</xdr:colOff>
      <xdr:row>5</xdr:row>
      <xdr:rowOff>81641</xdr:rowOff>
    </xdr:from>
    <xdr:to>
      <xdr:col>1</xdr:col>
      <xdr:colOff>429985</xdr:colOff>
      <xdr:row>20</xdr:row>
      <xdr:rowOff>179614</xdr:rowOff>
    </xdr:to>
    <xdr:sp macro="" textlink="">
      <xdr:nvSpPr>
        <xdr:cNvPr id="8" name="Rectangle: Rounded Corners 7">
          <a:extLst>
            <a:ext uri="{FF2B5EF4-FFF2-40B4-BE49-F238E27FC236}">
              <a16:creationId xmlns:a16="http://schemas.microsoft.com/office/drawing/2014/main" id="{CCB5DA91-149A-C4D4-1B65-EE69221BF452}"/>
            </a:ext>
          </a:extLst>
        </xdr:cNvPr>
        <xdr:cNvSpPr/>
      </xdr:nvSpPr>
      <xdr:spPr>
        <a:xfrm>
          <a:off x="27214" y="1006927"/>
          <a:ext cx="1012371" cy="2873830"/>
        </a:xfrm>
        <a:prstGeom prst="roundRect">
          <a:avLst>
            <a:gd name="adj" fmla="val 96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457200</xdr:colOff>
      <xdr:row>5</xdr:row>
      <xdr:rowOff>103414</xdr:rowOff>
    </xdr:from>
    <xdr:to>
      <xdr:col>4</xdr:col>
      <xdr:colOff>21409</xdr:colOff>
      <xdr:row>11</xdr:row>
      <xdr:rowOff>54428</xdr:rowOff>
    </xdr:to>
    <xdr:sp macro="" textlink="">
      <xdr:nvSpPr>
        <xdr:cNvPr id="10" name="Rectangle: Rounded Corners 9">
          <a:extLst>
            <a:ext uri="{FF2B5EF4-FFF2-40B4-BE49-F238E27FC236}">
              <a16:creationId xmlns:a16="http://schemas.microsoft.com/office/drawing/2014/main" id="{6C4DD727-5DA4-B342-7439-4A111EC24FC9}"/>
            </a:ext>
          </a:extLst>
        </xdr:cNvPr>
        <xdr:cNvSpPr/>
      </xdr:nvSpPr>
      <xdr:spPr>
        <a:xfrm>
          <a:off x="1066800" y="1028700"/>
          <a:ext cx="1387929" cy="1061357"/>
        </a:xfrm>
        <a:prstGeom prst="roundRect">
          <a:avLst>
            <a:gd name="adj" fmla="val 60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43180</xdr:colOff>
      <xdr:row>5</xdr:row>
      <xdr:rowOff>92528</xdr:rowOff>
    </xdr:from>
    <xdr:to>
      <xdr:col>6</xdr:col>
      <xdr:colOff>190137</xdr:colOff>
      <xdr:row>11</xdr:row>
      <xdr:rowOff>54428</xdr:rowOff>
    </xdr:to>
    <xdr:sp macro="" textlink="">
      <xdr:nvSpPr>
        <xdr:cNvPr id="12" name="Rectangle: Rounded Corners 11">
          <a:extLst>
            <a:ext uri="{FF2B5EF4-FFF2-40B4-BE49-F238E27FC236}">
              <a16:creationId xmlns:a16="http://schemas.microsoft.com/office/drawing/2014/main" id="{AFD0F658-0756-C4A2-5C43-B8BE879C3D21}"/>
            </a:ext>
          </a:extLst>
        </xdr:cNvPr>
        <xdr:cNvSpPr/>
      </xdr:nvSpPr>
      <xdr:spPr>
        <a:xfrm>
          <a:off x="2476500" y="1017814"/>
          <a:ext cx="1366157" cy="1072243"/>
        </a:xfrm>
        <a:prstGeom prst="roundRect">
          <a:avLst>
            <a:gd name="adj" fmla="val 60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217352</xdr:colOff>
      <xdr:row>5</xdr:row>
      <xdr:rowOff>92528</xdr:rowOff>
    </xdr:from>
    <xdr:to>
      <xdr:col>8</xdr:col>
      <xdr:colOff>497840</xdr:colOff>
      <xdr:row>11</xdr:row>
      <xdr:rowOff>55880</xdr:rowOff>
    </xdr:to>
    <xdr:sp macro="" textlink="">
      <xdr:nvSpPr>
        <xdr:cNvPr id="13" name="Rectangle: Rounded Corners 12">
          <a:extLst>
            <a:ext uri="{FF2B5EF4-FFF2-40B4-BE49-F238E27FC236}">
              <a16:creationId xmlns:a16="http://schemas.microsoft.com/office/drawing/2014/main" id="{061F5EDC-E259-4484-AEF3-0760D7365120}"/>
            </a:ext>
          </a:extLst>
        </xdr:cNvPr>
        <xdr:cNvSpPr/>
      </xdr:nvSpPr>
      <xdr:spPr>
        <a:xfrm>
          <a:off x="3869872" y="1006928"/>
          <a:ext cx="1499688" cy="1060632"/>
        </a:xfrm>
        <a:prstGeom prst="roundRect">
          <a:avLst>
            <a:gd name="adj" fmla="val 60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457201</xdr:colOff>
      <xdr:row>15</xdr:row>
      <xdr:rowOff>141514</xdr:rowOff>
    </xdr:from>
    <xdr:to>
      <xdr:col>8</xdr:col>
      <xdr:colOff>508000</xdr:colOff>
      <xdr:row>21</xdr:row>
      <xdr:rowOff>5080</xdr:rowOff>
    </xdr:to>
    <xdr:sp macro="" textlink="">
      <xdr:nvSpPr>
        <xdr:cNvPr id="20" name="Rectangle: Rounded Corners 19">
          <a:extLst>
            <a:ext uri="{FF2B5EF4-FFF2-40B4-BE49-F238E27FC236}">
              <a16:creationId xmlns:a16="http://schemas.microsoft.com/office/drawing/2014/main" id="{D5B6D58A-46B2-795B-BE3E-E8D142E2B923}"/>
            </a:ext>
          </a:extLst>
        </xdr:cNvPr>
        <xdr:cNvSpPr/>
      </xdr:nvSpPr>
      <xdr:spPr>
        <a:xfrm>
          <a:off x="1066801" y="2884714"/>
          <a:ext cx="4312919" cy="960846"/>
        </a:xfrm>
        <a:prstGeom prst="roundRect">
          <a:avLst>
            <a:gd name="adj" fmla="val 4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457200</xdr:colOff>
      <xdr:row>11</xdr:row>
      <xdr:rowOff>65314</xdr:rowOff>
    </xdr:from>
    <xdr:to>
      <xdr:col>8</xdr:col>
      <xdr:colOff>500380</xdr:colOff>
      <xdr:row>15</xdr:row>
      <xdr:rowOff>117566</xdr:rowOff>
    </xdr:to>
    <xdr:sp macro="" textlink="">
      <xdr:nvSpPr>
        <xdr:cNvPr id="21" name="Rectangle: Rounded Corners 20">
          <a:extLst>
            <a:ext uri="{FF2B5EF4-FFF2-40B4-BE49-F238E27FC236}">
              <a16:creationId xmlns:a16="http://schemas.microsoft.com/office/drawing/2014/main" id="{B85F03CA-490B-84FD-A4E1-5E6B20D879A3}"/>
            </a:ext>
          </a:extLst>
        </xdr:cNvPr>
        <xdr:cNvSpPr/>
      </xdr:nvSpPr>
      <xdr:spPr>
        <a:xfrm>
          <a:off x="1066800" y="2100943"/>
          <a:ext cx="4305300" cy="792480"/>
        </a:xfrm>
        <a:prstGeom prst="roundRect">
          <a:avLst>
            <a:gd name="adj" fmla="val 47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528320</xdr:colOff>
      <xdr:row>8</xdr:row>
      <xdr:rowOff>170180</xdr:rowOff>
    </xdr:from>
    <xdr:to>
      <xdr:col>14</xdr:col>
      <xdr:colOff>116840</xdr:colOff>
      <xdr:row>21</xdr:row>
      <xdr:rowOff>15240</xdr:rowOff>
    </xdr:to>
    <xdr:sp macro="" textlink="">
      <xdr:nvSpPr>
        <xdr:cNvPr id="36" name="Rectangle: Rounded Corners 35">
          <a:extLst>
            <a:ext uri="{FF2B5EF4-FFF2-40B4-BE49-F238E27FC236}">
              <a16:creationId xmlns:a16="http://schemas.microsoft.com/office/drawing/2014/main" id="{36A61A4C-1092-7986-DF84-A1F24B2D458A}"/>
            </a:ext>
          </a:extLst>
        </xdr:cNvPr>
        <xdr:cNvSpPr/>
      </xdr:nvSpPr>
      <xdr:spPr>
        <a:xfrm>
          <a:off x="5400040" y="1633220"/>
          <a:ext cx="3246120" cy="2222500"/>
        </a:xfrm>
        <a:prstGeom prst="roundRect">
          <a:avLst>
            <a:gd name="adj" fmla="val 18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234043</xdr:colOff>
      <xdr:row>1</xdr:row>
      <xdr:rowOff>5443</xdr:rowOff>
    </xdr:from>
    <xdr:to>
      <xdr:col>5</xdr:col>
      <xdr:colOff>239123</xdr:colOff>
      <xdr:row>2</xdr:row>
      <xdr:rowOff>145701</xdr:rowOff>
    </xdr:to>
    <xdr:sp macro="" textlink="">
      <xdr:nvSpPr>
        <xdr:cNvPr id="39" name="TextBox 38">
          <a:extLst>
            <a:ext uri="{FF2B5EF4-FFF2-40B4-BE49-F238E27FC236}">
              <a16:creationId xmlns:a16="http://schemas.microsoft.com/office/drawing/2014/main" id="{8C65EEB6-5FAD-2379-42AE-A776388669F0}"/>
            </a:ext>
          </a:extLst>
        </xdr:cNvPr>
        <xdr:cNvSpPr txBox="1"/>
      </xdr:nvSpPr>
      <xdr:spPr>
        <a:xfrm>
          <a:off x="843643" y="190500"/>
          <a:ext cx="2438400" cy="3253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Hospital Emergency Room Dashboard</a:t>
          </a:r>
        </a:p>
      </xdr:txBody>
    </xdr:sp>
    <xdr:clientData/>
  </xdr:twoCellAnchor>
  <xdr:twoCellAnchor editAs="absolute">
    <xdr:from>
      <xdr:col>1</xdr:col>
      <xdr:colOff>370840</xdr:colOff>
      <xdr:row>3</xdr:row>
      <xdr:rowOff>20320</xdr:rowOff>
    </xdr:from>
    <xdr:to>
      <xdr:col>5</xdr:col>
      <xdr:colOff>111760</xdr:colOff>
      <xdr:row>4</xdr:row>
      <xdr:rowOff>132080</xdr:rowOff>
    </xdr:to>
    <xdr:sp macro="" textlink="">
      <xdr:nvSpPr>
        <xdr:cNvPr id="42" name="TextBox 41">
          <a:extLst>
            <a:ext uri="{FF2B5EF4-FFF2-40B4-BE49-F238E27FC236}">
              <a16:creationId xmlns:a16="http://schemas.microsoft.com/office/drawing/2014/main" id="{021965DC-22D9-314E-5F96-2752A8BD0A08}"/>
            </a:ext>
          </a:extLst>
        </xdr:cNvPr>
        <xdr:cNvSpPr txBox="1"/>
      </xdr:nvSpPr>
      <xdr:spPr>
        <a:xfrm>
          <a:off x="980440" y="568960"/>
          <a:ext cx="2174240"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Monthly Report</a:t>
          </a:r>
        </a:p>
      </xdr:txBody>
    </xdr:sp>
    <xdr:clientData/>
  </xdr:twoCellAnchor>
  <xdr:twoCellAnchor>
    <xdr:from>
      <xdr:col>2</xdr:col>
      <xdr:colOff>233680</xdr:colOff>
      <xdr:row>6</xdr:row>
      <xdr:rowOff>15240</xdr:rowOff>
    </xdr:from>
    <xdr:to>
      <xdr:col>4</xdr:col>
      <xdr:colOff>208280</xdr:colOff>
      <xdr:row>7</xdr:row>
      <xdr:rowOff>20320</xdr:rowOff>
    </xdr:to>
    <xdr:sp macro="" textlink="'PIVOT REPORT'!A6">
      <xdr:nvSpPr>
        <xdr:cNvPr id="44" name="TextBox 43">
          <a:extLst>
            <a:ext uri="{FF2B5EF4-FFF2-40B4-BE49-F238E27FC236}">
              <a16:creationId xmlns:a16="http://schemas.microsoft.com/office/drawing/2014/main" id="{5A309227-3387-E7B0-C9DE-68CEE7CFD730}"/>
            </a:ext>
          </a:extLst>
        </xdr:cNvPr>
        <xdr:cNvSpPr txBox="1"/>
      </xdr:nvSpPr>
      <xdr:spPr>
        <a:xfrm>
          <a:off x="1452880" y="1112520"/>
          <a:ext cx="1188720" cy="1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11AB0A-3C5B-4604-924E-DE52497879D7}" type="TxLink">
            <a:rPr lang="en-US" sz="1100" b="0" i="0" u="none" strike="noStrike">
              <a:solidFill>
                <a:srgbClr val="000000"/>
              </a:solidFill>
              <a:latin typeface="Aptos Narrow"/>
            </a:rPr>
            <a:t>519</a:t>
          </a:fld>
          <a:endParaRPr lang="en-US" sz="1100"/>
        </a:p>
      </xdr:txBody>
    </xdr:sp>
    <xdr:clientData/>
  </xdr:twoCellAnchor>
  <xdr:twoCellAnchor>
    <xdr:from>
      <xdr:col>1</xdr:col>
      <xdr:colOff>563880</xdr:colOff>
      <xdr:row>7</xdr:row>
      <xdr:rowOff>71120</xdr:rowOff>
    </xdr:from>
    <xdr:to>
      <xdr:col>3</xdr:col>
      <xdr:colOff>533400</xdr:colOff>
      <xdr:row>8</xdr:row>
      <xdr:rowOff>76200</xdr:rowOff>
    </xdr:to>
    <xdr:sp macro="" textlink="'PIVOT REPORT'!A6">
      <xdr:nvSpPr>
        <xdr:cNvPr id="45" name="TextBox 44">
          <a:hlinkClick xmlns:r="http://schemas.openxmlformats.org/officeDocument/2006/relationships" r:id="rId1"/>
          <a:extLst>
            <a:ext uri="{FF2B5EF4-FFF2-40B4-BE49-F238E27FC236}">
              <a16:creationId xmlns:a16="http://schemas.microsoft.com/office/drawing/2014/main" id="{448AABEE-7020-0DAF-8B38-4A15C0E2ABDC}"/>
            </a:ext>
          </a:extLst>
        </xdr:cNvPr>
        <xdr:cNvSpPr txBox="1"/>
      </xdr:nvSpPr>
      <xdr:spPr>
        <a:xfrm>
          <a:off x="1173480" y="1351280"/>
          <a:ext cx="1188720" cy="1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a:t>
          </a:r>
          <a:r>
            <a:rPr lang="en-US" sz="1100" baseline="0"/>
            <a:t>. of Patient</a:t>
          </a:r>
          <a:endParaRPr lang="en-US" sz="1100"/>
        </a:p>
      </xdr:txBody>
    </xdr:sp>
    <xdr:clientData/>
  </xdr:twoCellAnchor>
  <xdr:twoCellAnchor>
    <xdr:from>
      <xdr:col>4</xdr:col>
      <xdr:colOff>396240</xdr:colOff>
      <xdr:row>6</xdr:row>
      <xdr:rowOff>0</xdr:rowOff>
    </xdr:from>
    <xdr:to>
      <xdr:col>6</xdr:col>
      <xdr:colOff>365760</xdr:colOff>
      <xdr:row>7</xdr:row>
      <xdr:rowOff>5080</xdr:rowOff>
    </xdr:to>
    <xdr:sp macro="" textlink="'PIVOT REPORT'!A13">
      <xdr:nvSpPr>
        <xdr:cNvPr id="46" name="TextBox 45">
          <a:extLst>
            <a:ext uri="{FF2B5EF4-FFF2-40B4-BE49-F238E27FC236}">
              <a16:creationId xmlns:a16="http://schemas.microsoft.com/office/drawing/2014/main" id="{F5764F6B-06BD-5C27-0C8A-B8A9D598C3C4}"/>
            </a:ext>
          </a:extLst>
        </xdr:cNvPr>
        <xdr:cNvSpPr txBox="1"/>
      </xdr:nvSpPr>
      <xdr:spPr>
        <a:xfrm>
          <a:off x="2829560" y="1097280"/>
          <a:ext cx="1188720" cy="1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D4623E-5D16-4FF5-80B1-0A4DF8A22B7A}" type="TxLink">
            <a:rPr lang="en-US" sz="1100" b="0" i="0" u="none" strike="noStrike">
              <a:solidFill>
                <a:srgbClr val="000000"/>
              </a:solidFill>
              <a:latin typeface="Aptos Narrow"/>
            </a:rPr>
            <a:t>35.81</a:t>
          </a:fld>
          <a:endParaRPr lang="en-US" sz="1100"/>
        </a:p>
      </xdr:txBody>
    </xdr:sp>
    <xdr:clientData/>
  </xdr:twoCellAnchor>
  <xdr:twoCellAnchor>
    <xdr:from>
      <xdr:col>4</xdr:col>
      <xdr:colOff>142240</xdr:colOff>
      <xdr:row>7</xdr:row>
      <xdr:rowOff>106680</xdr:rowOff>
    </xdr:from>
    <xdr:to>
      <xdr:col>6</xdr:col>
      <xdr:colOff>111760</xdr:colOff>
      <xdr:row>9</xdr:row>
      <xdr:rowOff>40640</xdr:rowOff>
    </xdr:to>
    <xdr:sp macro="" textlink="'PIVOT REPORT'!A6">
      <xdr:nvSpPr>
        <xdr:cNvPr id="47" name="TextBox 46">
          <a:hlinkClick xmlns:r="http://schemas.openxmlformats.org/officeDocument/2006/relationships" r:id="rId2"/>
          <a:extLst>
            <a:ext uri="{FF2B5EF4-FFF2-40B4-BE49-F238E27FC236}">
              <a16:creationId xmlns:a16="http://schemas.microsoft.com/office/drawing/2014/main" id="{739DC811-E0C3-B21C-CE7F-7F353CC55C45}"/>
            </a:ext>
          </a:extLst>
        </xdr:cNvPr>
        <xdr:cNvSpPr txBox="1"/>
      </xdr:nvSpPr>
      <xdr:spPr>
        <a:xfrm>
          <a:off x="2575560" y="1386840"/>
          <a:ext cx="1188720" cy="299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Avg</a:t>
          </a:r>
          <a:r>
            <a:rPr lang="en-US" sz="1100" baseline="0"/>
            <a:t> Wait Time</a:t>
          </a:r>
          <a:endParaRPr lang="en-US" sz="1100"/>
        </a:p>
      </xdr:txBody>
    </xdr:sp>
    <xdr:clientData/>
  </xdr:twoCellAnchor>
  <xdr:twoCellAnchor>
    <xdr:from>
      <xdr:col>6</xdr:col>
      <xdr:colOff>574040</xdr:colOff>
      <xdr:row>5</xdr:row>
      <xdr:rowOff>162560</xdr:rowOff>
    </xdr:from>
    <xdr:to>
      <xdr:col>8</xdr:col>
      <xdr:colOff>543560</xdr:colOff>
      <xdr:row>6</xdr:row>
      <xdr:rowOff>167640</xdr:rowOff>
    </xdr:to>
    <xdr:sp macro="" textlink="'PIVOT REPORT'!A19">
      <xdr:nvSpPr>
        <xdr:cNvPr id="48" name="TextBox 47">
          <a:extLst>
            <a:ext uri="{FF2B5EF4-FFF2-40B4-BE49-F238E27FC236}">
              <a16:creationId xmlns:a16="http://schemas.microsoft.com/office/drawing/2014/main" id="{79916CEB-17C7-8A91-5937-BE54E5B36203}"/>
            </a:ext>
          </a:extLst>
        </xdr:cNvPr>
        <xdr:cNvSpPr txBox="1"/>
      </xdr:nvSpPr>
      <xdr:spPr>
        <a:xfrm>
          <a:off x="4226560" y="1076960"/>
          <a:ext cx="1188720" cy="18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B2C417-D9D5-4DD0-AA16-CE25FB86B8A1}" type="TxLink">
            <a:rPr lang="en-US" sz="1100" b="0" i="0" u="none" strike="noStrike">
              <a:solidFill>
                <a:srgbClr val="000000"/>
              </a:solidFill>
              <a:latin typeface="Aptos Narrow"/>
            </a:rPr>
            <a:t>5.15</a:t>
          </a:fld>
          <a:endParaRPr lang="en-US" sz="1100"/>
        </a:p>
      </xdr:txBody>
    </xdr:sp>
    <xdr:clientData/>
  </xdr:twoCellAnchor>
  <xdr:twoCellAnchor>
    <xdr:from>
      <xdr:col>6</xdr:col>
      <xdr:colOff>360680</xdr:colOff>
      <xdr:row>7</xdr:row>
      <xdr:rowOff>96520</xdr:rowOff>
    </xdr:from>
    <xdr:to>
      <xdr:col>8</xdr:col>
      <xdr:colOff>538480</xdr:colOff>
      <xdr:row>9</xdr:row>
      <xdr:rowOff>60960</xdr:rowOff>
    </xdr:to>
    <xdr:sp macro="" textlink="'PIVOT REPORT'!A6">
      <xdr:nvSpPr>
        <xdr:cNvPr id="49" name="TextBox 48">
          <a:extLst>
            <a:ext uri="{FF2B5EF4-FFF2-40B4-BE49-F238E27FC236}">
              <a16:creationId xmlns:a16="http://schemas.microsoft.com/office/drawing/2014/main" id="{E8BA5B17-F90C-3092-B7BB-078894A15879}"/>
            </a:ext>
          </a:extLst>
        </xdr:cNvPr>
        <xdr:cNvSpPr txBox="1"/>
      </xdr:nvSpPr>
      <xdr:spPr>
        <a:xfrm>
          <a:off x="4013200" y="1376680"/>
          <a:ext cx="13970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Satisfaction Score</a:t>
          </a:r>
        </a:p>
      </xdr:txBody>
    </xdr:sp>
    <xdr:clientData/>
  </xdr:twoCellAnchor>
  <xdr:twoCellAnchor editAs="oneCell">
    <xdr:from>
      <xdr:col>3</xdr:col>
      <xdr:colOff>243840</xdr:colOff>
      <xdr:row>5</xdr:row>
      <xdr:rowOff>142240</xdr:rowOff>
    </xdr:from>
    <xdr:to>
      <xdr:col>3</xdr:col>
      <xdr:colOff>589280</xdr:colOff>
      <xdr:row>7</xdr:row>
      <xdr:rowOff>45720</xdr:rowOff>
    </xdr:to>
    <xdr:pic>
      <xdr:nvPicPr>
        <xdr:cNvPr id="51" name="Graphic 50" descr="Male profile with solid fill">
          <a:extLst>
            <a:ext uri="{FF2B5EF4-FFF2-40B4-BE49-F238E27FC236}">
              <a16:creationId xmlns:a16="http://schemas.microsoft.com/office/drawing/2014/main" id="{A51BA086-DA46-55B3-8644-BC709D871D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72640" y="1056640"/>
          <a:ext cx="345440" cy="269240"/>
        </a:xfrm>
        <a:prstGeom prst="rect">
          <a:avLst/>
        </a:prstGeom>
      </xdr:spPr>
    </xdr:pic>
    <xdr:clientData/>
  </xdr:twoCellAnchor>
  <xdr:twoCellAnchor editAs="oneCell">
    <xdr:from>
      <xdr:col>5</xdr:col>
      <xdr:colOff>350520</xdr:colOff>
      <xdr:row>5</xdr:row>
      <xdr:rowOff>116840</xdr:rowOff>
    </xdr:from>
    <xdr:to>
      <xdr:col>6</xdr:col>
      <xdr:colOff>166009</xdr:colOff>
      <xdr:row>6</xdr:row>
      <xdr:rowOff>172720</xdr:rowOff>
    </xdr:to>
    <xdr:pic>
      <xdr:nvPicPr>
        <xdr:cNvPr id="53" name="Graphic 52" descr="Hourglass Finished with solid fill">
          <a:extLst>
            <a:ext uri="{FF2B5EF4-FFF2-40B4-BE49-F238E27FC236}">
              <a16:creationId xmlns:a16="http://schemas.microsoft.com/office/drawing/2014/main" id="{6EAD7043-2358-4B88-5B2F-6C4FE08619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98520" y="1031240"/>
          <a:ext cx="425089" cy="238760"/>
        </a:xfrm>
        <a:prstGeom prst="rect">
          <a:avLst/>
        </a:prstGeom>
      </xdr:spPr>
    </xdr:pic>
    <xdr:clientData/>
  </xdr:twoCellAnchor>
  <xdr:twoCellAnchor editAs="oneCell">
    <xdr:from>
      <xdr:col>8</xdr:col>
      <xdr:colOff>147320</xdr:colOff>
      <xdr:row>5</xdr:row>
      <xdr:rowOff>96520</xdr:rowOff>
    </xdr:from>
    <xdr:to>
      <xdr:col>8</xdr:col>
      <xdr:colOff>447040</xdr:colOff>
      <xdr:row>7</xdr:row>
      <xdr:rowOff>45720</xdr:rowOff>
    </xdr:to>
    <xdr:pic>
      <xdr:nvPicPr>
        <xdr:cNvPr id="55" name="Graphic 54" descr="Customer review with solid fill">
          <a:extLst>
            <a:ext uri="{FF2B5EF4-FFF2-40B4-BE49-F238E27FC236}">
              <a16:creationId xmlns:a16="http://schemas.microsoft.com/office/drawing/2014/main" id="{0058151E-349B-D63A-9970-14E65FED55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4120" y="1010920"/>
          <a:ext cx="299720" cy="314960"/>
        </a:xfrm>
        <a:prstGeom prst="rect">
          <a:avLst/>
        </a:prstGeom>
      </xdr:spPr>
    </xdr:pic>
    <xdr:clientData/>
  </xdr:twoCellAnchor>
  <xdr:twoCellAnchor editAs="oneCell">
    <xdr:from>
      <xdr:col>0</xdr:col>
      <xdr:colOff>96520</xdr:colOff>
      <xdr:row>5</xdr:row>
      <xdr:rowOff>81280</xdr:rowOff>
    </xdr:from>
    <xdr:to>
      <xdr:col>1</xdr:col>
      <xdr:colOff>375920</xdr:colOff>
      <xdr:row>20</xdr:row>
      <xdr:rowOff>172720</xdr:rowOff>
    </xdr:to>
    <mc:AlternateContent xmlns:mc="http://schemas.openxmlformats.org/markup-compatibility/2006">
      <mc:Choice xmlns:a14="http://schemas.microsoft.com/office/drawing/2010/main" Requires="a14">
        <xdr:graphicFrame macro="">
          <xdr:nvGraphicFramePr>
            <xdr:cNvPr id="56" name="Date (Month)">
              <a:extLst>
                <a:ext uri="{FF2B5EF4-FFF2-40B4-BE49-F238E27FC236}">
                  <a16:creationId xmlns:a16="http://schemas.microsoft.com/office/drawing/2014/main" id="{1161C1C7-2BD9-432E-BA23-EC1B497F8E4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96520" y="995680"/>
              <a:ext cx="889000"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335280</xdr:colOff>
      <xdr:row>7</xdr:row>
      <xdr:rowOff>157480</xdr:rowOff>
    </xdr:from>
    <xdr:to>
      <xdr:col>4</xdr:col>
      <xdr:colOff>30480</xdr:colOff>
      <xdr:row>11</xdr:row>
      <xdr:rowOff>81280</xdr:rowOff>
    </xdr:to>
    <xdr:graphicFrame macro="">
      <xdr:nvGraphicFramePr>
        <xdr:cNvPr id="58" name="Chart 57">
          <a:hlinkClick xmlns:r="http://schemas.openxmlformats.org/officeDocument/2006/relationships" r:id="rId1"/>
          <a:extLst>
            <a:ext uri="{FF2B5EF4-FFF2-40B4-BE49-F238E27FC236}">
              <a16:creationId xmlns:a16="http://schemas.microsoft.com/office/drawing/2014/main" id="{41DA3968-8E24-465A-97A1-828846FC4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30480</xdr:rowOff>
    </xdr:from>
    <xdr:to>
      <xdr:col>1</xdr:col>
      <xdr:colOff>526789</xdr:colOff>
      <xdr:row>6</xdr:row>
      <xdr:rowOff>15240</xdr:rowOff>
    </xdr:to>
    <xdr:pic>
      <xdr:nvPicPr>
        <xdr:cNvPr id="62" name="Picture 61">
          <a:extLst>
            <a:ext uri="{FF2B5EF4-FFF2-40B4-BE49-F238E27FC236}">
              <a16:creationId xmlns:a16="http://schemas.microsoft.com/office/drawing/2014/main" id="{6AD3114E-AF66-F5C6-4ADF-3FA54447D2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30480"/>
          <a:ext cx="1136389" cy="1082040"/>
        </a:xfrm>
        <a:prstGeom prst="rect">
          <a:avLst/>
        </a:prstGeom>
      </xdr:spPr>
    </xdr:pic>
    <xdr:clientData/>
  </xdr:twoCellAnchor>
  <xdr:twoCellAnchor>
    <xdr:from>
      <xdr:col>3</xdr:col>
      <xdr:colOff>538480</xdr:colOff>
      <xdr:row>8</xdr:row>
      <xdr:rowOff>96520</xdr:rowOff>
    </xdr:from>
    <xdr:to>
      <xdr:col>6</xdr:col>
      <xdr:colOff>355600</xdr:colOff>
      <xdr:row>12</xdr:row>
      <xdr:rowOff>15240</xdr:rowOff>
    </xdr:to>
    <xdr:graphicFrame macro="">
      <xdr:nvGraphicFramePr>
        <xdr:cNvPr id="63" name="Chart 62">
          <a:hlinkClick xmlns:r="http://schemas.openxmlformats.org/officeDocument/2006/relationships" r:id="rId2"/>
          <a:extLst>
            <a:ext uri="{FF2B5EF4-FFF2-40B4-BE49-F238E27FC236}">
              <a16:creationId xmlns:a16="http://schemas.microsoft.com/office/drawing/2014/main" id="{7194EABD-9AFB-42B5-A0BB-407EC206F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233680</xdr:colOff>
      <xdr:row>6</xdr:row>
      <xdr:rowOff>81280</xdr:rowOff>
    </xdr:from>
    <xdr:to>
      <xdr:col>8</xdr:col>
      <xdr:colOff>457200</xdr:colOff>
      <xdr:row>12</xdr:row>
      <xdr:rowOff>5080</xdr:rowOff>
    </xdr:to>
    <xdr:graphicFrame macro="">
      <xdr:nvGraphicFramePr>
        <xdr:cNvPr id="64" name="Chart 63">
          <a:hlinkClick xmlns:r="http://schemas.openxmlformats.org/officeDocument/2006/relationships" r:id="rId12"/>
          <a:extLst>
            <a:ext uri="{FF2B5EF4-FFF2-40B4-BE49-F238E27FC236}">
              <a16:creationId xmlns:a16="http://schemas.microsoft.com/office/drawing/2014/main" id="{6F380AFA-F81A-48EA-BC80-1710EA544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482600</xdr:colOff>
          <xdr:row>11</xdr:row>
          <xdr:rowOff>106680</xdr:rowOff>
        </xdr:from>
        <xdr:to>
          <xdr:col>8</xdr:col>
          <xdr:colOff>477520</xdr:colOff>
          <xdr:row>15</xdr:row>
          <xdr:rowOff>111760</xdr:rowOff>
        </xdr:to>
        <xdr:pic>
          <xdr:nvPicPr>
            <xdr:cNvPr id="68" name="Picture 67">
              <a:extLst>
                <a:ext uri="{FF2B5EF4-FFF2-40B4-BE49-F238E27FC236}">
                  <a16:creationId xmlns:a16="http://schemas.microsoft.com/office/drawing/2014/main" id="{FA06404B-C822-3EAA-B62F-73DDCC346378}"/>
                </a:ext>
              </a:extLst>
            </xdr:cNvPr>
            <xdr:cNvPicPr>
              <a:picLocks noChangeAspect="1" noChangeArrowheads="1"/>
              <a:extLst>
                <a:ext uri="{84589F7E-364E-4C9E-8A38-B11213B215E9}">
                  <a14:cameraTool cellRange="'PIVOT REPORT'!$A$41:$D$44" spid="_x0000_s2061"/>
                </a:ext>
              </a:extLst>
            </xdr:cNvPicPr>
          </xdr:nvPicPr>
          <xdr:blipFill>
            <a:blip xmlns:r="http://schemas.openxmlformats.org/officeDocument/2006/relationships" r:embed="rId14"/>
            <a:srcRect/>
            <a:stretch>
              <a:fillRect/>
            </a:stretch>
          </xdr:blipFill>
          <xdr:spPr bwMode="auto">
            <a:xfrm>
              <a:off x="1092200" y="2118360"/>
              <a:ext cx="4257040" cy="7366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457200</xdr:colOff>
      <xdr:row>16</xdr:row>
      <xdr:rowOff>30480</xdr:rowOff>
    </xdr:from>
    <xdr:to>
      <xdr:col>8</xdr:col>
      <xdr:colOff>426720</xdr:colOff>
      <xdr:row>20</xdr:row>
      <xdr:rowOff>15240</xdr:rowOff>
    </xdr:to>
    <xdr:graphicFrame macro="">
      <xdr:nvGraphicFramePr>
        <xdr:cNvPr id="70" name="Chart 69">
          <a:extLst>
            <a:ext uri="{FF2B5EF4-FFF2-40B4-BE49-F238E27FC236}">
              <a16:creationId xmlns:a16="http://schemas.microsoft.com/office/drawing/2014/main" id="{7F05D1CF-9D58-45DF-9E5C-4B8DB166E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538480</xdr:colOff>
      <xdr:row>0</xdr:row>
      <xdr:rowOff>10160</xdr:rowOff>
    </xdr:from>
    <xdr:to>
      <xdr:col>11</xdr:col>
      <xdr:colOff>304800</xdr:colOff>
      <xdr:row>8</xdr:row>
      <xdr:rowOff>157480</xdr:rowOff>
    </xdr:to>
    <xdr:graphicFrame macro="">
      <xdr:nvGraphicFramePr>
        <xdr:cNvPr id="71" name="Chart 70">
          <a:extLst>
            <a:ext uri="{FF2B5EF4-FFF2-40B4-BE49-F238E27FC236}">
              <a16:creationId xmlns:a16="http://schemas.microsoft.com/office/drawing/2014/main" id="{854C68A1-9129-45C1-BA8D-BD65E2B68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330200</xdr:colOff>
      <xdr:row>0</xdr:row>
      <xdr:rowOff>66040</xdr:rowOff>
    </xdr:from>
    <xdr:to>
      <xdr:col>14</xdr:col>
      <xdr:colOff>35560</xdr:colOff>
      <xdr:row>9</xdr:row>
      <xdr:rowOff>178888</xdr:rowOff>
    </xdr:to>
    <xdr:graphicFrame macro="">
      <xdr:nvGraphicFramePr>
        <xdr:cNvPr id="73" name="Chart 72">
          <a:extLst>
            <a:ext uri="{FF2B5EF4-FFF2-40B4-BE49-F238E27FC236}">
              <a16:creationId xmlns:a16="http://schemas.microsoft.com/office/drawing/2014/main" id="{E25EB687-ED70-4C8B-9644-784B99984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548640</xdr:colOff>
      <xdr:row>7</xdr:row>
      <xdr:rowOff>30480</xdr:rowOff>
    </xdr:from>
    <xdr:to>
      <xdr:col>11</xdr:col>
      <xdr:colOff>325120</xdr:colOff>
      <xdr:row>9</xdr:row>
      <xdr:rowOff>15240</xdr:rowOff>
    </xdr:to>
    <xdr:sp macro="" textlink="">
      <xdr:nvSpPr>
        <xdr:cNvPr id="74" name="TextBox 73">
          <a:extLst>
            <a:ext uri="{FF2B5EF4-FFF2-40B4-BE49-F238E27FC236}">
              <a16:creationId xmlns:a16="http://schemas.microsoft.com/office/drawing/2014/main" id="{C334450D-A7D3-4AC1-B865-4AEDD5DC58AF}"/>
            </a:ext>
          </a:extLst>
        </xdr:cNvPr>
        <xdr:cNvSpPr txBox="1"/>
      </xdr:nvSpPr>
      <xdr:spPr>
        <a:xfrm>
          <a:off x="5420360" y="1310640"/>
          <a:ext cx="16052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Patients</a:t>
          </a:r>
          <a:r>
            <a:rPr lang="en-US" sz="900" baseline="0"/>
            <a:t> attended within time</a:t>
          </a:r>
          <a:endParaRPr lang="en-US" sz="900"/>
        </a:p>
      </xdr:txBody>
    </xdr:sp>
    <xdr:clientData/>
  </xdr:twoCellAnchor>
  <xdr:twoCellAnchor editAs="absolute">
    <xdr:from>
      <xdr:col>10</xdr:col>
      <xdr:colOff>523240</xdr:colOff>
      <xdr:row>7</xdr:row>
      <xdr:rowOff>33020</xdr:rowOff>
    </xdr:from>
    <xdr:to>
      <xdr:col>14</xdr:col>
      <xdr:colOff>259080</xdr:colOff>
      <xdr:row>8</xdr:row>
      <xdr:rowOff>144780</xdr:rowOff>
    </xdr:to>
    <xdr:sp macro="" textlink="">
      <xdr:nvSpPr>
        <xdr:cNvPr id="75" name="TextBox 74">
          <a:extLst>
            <a:ext uri="{FF2B5EF4-FFF2-40B4-BE49-F238E27FC236}">
              <a16:creationId xmlns:a16="http://schemas.microsoft.com/office/drawing/2014/main" id="{744405EE-2DAF-4FC9-BD6D-45BAFF26335E}"/>
            </a:ext>
          </a:extLst>
        </xdr:cNvPr>
        <xdr:cNvSpPr txBox="1"/>
      </xdr:nvSpPr>
      <xdr:spPr>
        <a:xfrm>
          <a:off x="6614160" y="1313180"/>
          <a:ext cx="217424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a:t>
          </a:r>
          <a:r>
            <a:rPr lang="en-US" sz="1100" baseline="0"/>
            <a:t> of Patients by gender</a:t>
          </a:r>
          <a:endParaRPr lang="en-US" sz="1100"/>
        </a:p>
      </xdr:txBody>
    </xdr:sp>
    <xdr:clientData/>
  </xdr:twoCellAnchor>
  <xdr:twoCellAnchor editAs="absolute">
    <xdr:from>
      <xdr:col>3</xdr:col>
      <xdr:colOff>60960</xdr:colOff>
      <xdr:row>19</xdr:row>
      <xdr:rowOff>144780</xdr:rowOff>
    </xdr:from>
    <xdr:to>
      <xdr:col>6</xdr:col>
      <xdr:colOff>411480</xdr:colOff>
      <xdr:row>21</xdr:row>
      <xdr:rowOff>73660</xdr:rowOff>
    </xdr:to>
    <xdr:sp macro="" textlink="">
      <xdr:nvSpPr>
        <xdr:cNvPr id="76" name="TextBox 75">
          <a:extLst>
            <a:ext uri="{FF2B5EF4-FFF2-40B4-BE49-F238E27FC236}">
              <a16:creationId xmlns:a16="http://schemas.microsoft.com/office/drawing/2014/main" id="{5A4823A6-F520-4ABC-BCA9-440D45B81E4C}"/>
            </a:ext>
          </a:extLst>
        </xdr:cNvPr>
        <xdr:cNvSpPr txBox="1"/>
      </xdr:nvSpPr>
      <xdr:spPr>
        <a:xfrm>
          <a:off x="1889760" y="3619500"/>
          <a:ext cx="217424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a:t>
          </a:r>
          <a:r>
            <a:rPr lang="en-US" sz="1100" baseline="0"/>
            <a:t> of Patient by Age Group</a:t>
          </a:r>
          <a:endParaRPr lang="en-US" sz="1100"/>
        </a:p>
      </xdr:txBody>
    </xdr:sp>
    <xdr:clientData/>
  </xdr:twoCellAnchor>
  <xdr:twoCellAnchor>
    <xdr:from>
      <xdr:col>8</xdr:col>
      <xdr:colOff>538480</xdr:colOff>
      <xdr:row>8</xdr:row>
      <xdr:rowOff>170180</xdr:rowOff>
    </xdr:from>
    <xdr:to>
      <xdr:col>14</xdr:col>
      <xdr:colOff>81280</xdr:colOff>
      <xdr:row>20</xdr:row>
      <xdr:rowOff>40640</xdr:rowOff>
    </xdr:to>
    <xdr:graphicFrame macro="">
      <xdr:nvGraphicFramePr>
        <xdr:cNvPr id="77" name="Chart 76">
          <a:extLst>
            <a:ext uri="{FF2B5EF4-FFF2-40B4-BE49-F238E27FC236}">
              <a16:creationId xmlns:a16="http://schemas.microsoft.com/office/drawing/2014/main" id="{5F1EA65F-099A-4B6C-8311-E0445CC02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386080</xdr:colOff>
      <xdr:row>19</xdr:row>
      <xdr:rowOff>104140</xdr:rowOff>
    </xdr:from>
    <xdr:to>
      <xdr:col>13</xdr:col>
      <xdr:colOff>121920</xdr:colOff>
      <xdr:row>21</xdr:row>
      <xdr:rowOff>33020</xdr:rowOff>
    </xdr:to>
    <xdr:sp macro="" textlink="">
      <xdr:nvSpPr>
        <xdr:cNvPr id="78" name="TextBox 77">
          <a:extLst>
            <a:ext uri="{FF2B5EF4-FFF2-40B4-BE49-F238E27FC236}">
              <a16:creationId xmlns:a16="http://schemas.microsoft.com/office/drawing/2014/main" id="{040A9C96-B52B-4CD1-A717-61C3C345C2DC}"/>
            </a:ext>
          </a:extLst>
        </xdr:cNvPr>
        <xdr:cNvSpPr txBox="1"/>
      </xdr:nvSpPr>
      <xdr:spPr>
        <a:xfrm>
          <a:off x="5867400" y="3578860"/>
          <a:ext cx="217424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No.</a:t>
          </a:r>
          <a:r>
            <a:rPr lang="en-US" sz="1000" baseline="0"/>
            <a:t> of Patient By Department Referral</a:t>
          </a:r>
          <a:endParaRPr lang="en-US" sz="1000"/>
        </a:p>
      </xdr:txBody>
    </xdr:sp>
    <xdr:clientData/>
  </xdr:twoCellAnchor>
  <xdr:twoCellAnchor editAs="oneCell">
    <xdr:from>
      <xdr:col>6</xdr:col>
      <xdr:colOff>172720</xdr:colOff>
      <xdr:row>1</xdr:row>
      <xdr:rowOff>71121</xdr:rowOff>
    </xdr:from>
    <xdr:to>
      <xdr:col>8</xdr:col>
      <xdr:colOff>365760</xdr:colOff>
      <xdr:row>3</xdr:row>
      <xdr:rowOff>137160</xdr:rowOff>
    </xdr:to>
    <mc:AlternateContent xmlns:mc="http://schemas.openxmlformats.org/markup-compatibility/2006">
      <mc:Choice xmlns:a14="http://schemas.microsoft.com/office/drawing/2010/main" Requires="a14">
        <xdr:graphicFrame macro="">
          <xdr:nvGraphicFramePr>
            <xdr:cNvPr id="79" name="Date (Year)">
              <a:extLst>
                <a:ext uri="{FF2B5EF4-FFF2-40B4-BE49-F238E27FC236}">
                  <a16:creationId xmlns:a16="http://schemas.microsoft.com/office/drawing/2014/main" id="{FDD43BFB-6918-45AF-AC09-E26C3391F49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825240" y="254001"/>
              <a:ext cx="1412240" cy="43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7620</xdr:colOff>
      <xdr:row>25</xdr:row>
      <xdr:rowOff>0</xdr:rowOff>
    </xdr:to>
    <xdr:graphicFrame macro="">
      <xdr:nvGraphicFramePr>
        <xdr:cNvPr id="2" name="Chart 1">
          <a:extLst>
            <a:ext uri="{FF2B5EF4-FFF2-40B4-BE49-F238E27FC236}">
              <a16:creationId xmlns:a16="http://schemas.microsoft.com/office/drawing/2014/main" id="{89EF7062-158D-47BE-85C9-FB5B5FA02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25</xdr:row>
      <xdr:rowOff>15240</xdr:rowOff>
    </xdr:to>
    <xdr:graphicFrame macro="">
      <xdr:nvGraphicFramePr>
        <xdr:cNvPr id="2" name="Chart 1">
          <a:extLst>
            <a:ext uri="{FF2B5EF4-FFF2-40B4-BE49-F238E27FC236}">
              <a16:creationId xmlns:a16="http://schemas.microsoft.com/office/drawing/2014/main" id="{90807FBE-1372-4AEE-B4C1-173721DE7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0.05987</cdr:x>
      <cdr:y>0.15116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899B868-59E4-A39B-B6B0-AE63D3B6F13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93420" cy="6934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7620</xdr:colOff>
      <xdr:row>25</xdr:row>
      <xdr:rowOff>15240</xdr:rowOff>
    </xdr:to>
    <xdr:graphicFrame macro="">
      <xdr:nvGraphicFramePr>
        <xdr:cNvPr id="2" name="Chart 1">
          <a:extLst>
            <a:ext uri="{FF2B5EF4-FFF2-40B4-BE49-F238E27FC236}">
              <a16:creationId xmlns:a16="http://schemas.microsoft.com/office/drawing/2014/main" id="{8B3A03F0-DC6B-4993-A61A-3FF122C2D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579120</xdr:colOff>
      <xdr:row>3</xdr:row>
      <xdr:rowOff>30480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B46DE2F-2B4B-B827-38F3-4275310A5CF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79120" cy="5791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68402776" createdVersion="5" refreshedVersion="8" minRefreshableVersion="3" recordCount="0" supportSubquery="1" supportAdvancedDrill="1" xr:uid="{232D26EB-ED80-4C1D-A636-359463242EA0}">
  <cacheSource type="external" connectionId="3"/>
  <cacheFields count="5">
    <cacheField name="[Calendar_Table].[Date (Day)].[Date (Day)]" caption="Date (Day)" numFmtId="0" hierarchy="2" level="1">
      <sharedItems count="31">
        <s v="1-Mar"/>
        <s v="2-Mar"/>
        <s v="3-Mar"/>
        <s v="4-Mar"/>
        <s v="5-Mar"/>
        <s v="6-Mar"/>
        <s v="7-Mar"/>
        <s v="8-Mar"/>
        <s v="9-Mar"/>
        <s v="10-Mar"/>
        <s v="11-Mar"/>
        <s v="12-Mar"/>
        <s v="14-Mar"/>
        <s v="17-Mar"/>
        <s v="19-Mar"/>
        <s v="20-Mar"/>
        <s v="22-Mar"/>
        <s v="25-Mar"/>
        <s v="26-Mar"/>
        <s v="27-Mar"/>
        <s v="28-Mar"/>
        <s v="30-Mar"/>
        <s v="31-Mar"/>
        <s v="13-Mar"/>
        <s v="15-Mar"/>
        <s v="16-Mar"/>
        <s v="18-Mar"/>
        <s v="21-Mar"/>
        <s v="23-Mar"/>
        <s v="24-Mar"/>
        <s v="29-Mar"/>
      </sharedItems>
    </cacheField>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68865738" createdVersion="5" refreshedVersion="8" minRefreshableVersion="3" recordCount="0" supportSubquery="1" supportAdvancedDrill="1" xr:uid="{E3F98167-871D-40BF-BE41-A65524A375CF}">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69328707" createdVersion="5" refreshedVersion="8" minRefreshableVersion="3" recordCount="0" supportSubquery="1" supportAdvancedDrill="1" xr:uid="{06E99C45-A169-4798-82EE-B7FB190C1886}">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69907408" createdVersion="5" refreshedVersion="8" minRefreshableVersion="3" recordCount="0" supportSubquery="1" supportAdvancedDrill="1" xr:uid="{04A1465A-EBBC-479D-8A06-2D2E5831B430}">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0833332" createdVersion="5" refreshedVersion="8" minRefreshableVersion="3" recordCount="0" supportSubquery="1" supportAdvancedDrill="1" xr:uid="{F8B3B70C-41C7-4ED8-9859-6E0E9A56302C}">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199074" createdVersion="5" refreshedVersion="8" minRefreshableVersion="3" recordCount="0" supportSubquery="1" supportAdvancedDrill="1" xr:uid="{D9F5E12B-5EBB-4398-A25C-42CDBB6EA575}">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2916664" createdVersion="5" refreshedVersion="8" minRefreshableVersion="3" recordCount="0" supportSubquery="1" supportAdvancedDrill="1" xr:uid="{BC7D8F11-B199-4EE6-9DB8-15D22F2E3F1E}">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3842595" createdVersion="5" refreshedVersion="8" minRefreshableVersion="3" recordCount="0" supportSubquery="1" supportAdvancedDrill="1" xr:uid="{EA9E681B-A95D-42AE-9230-016C60E156A5}">
  <cacheSource type="external" connectionId="3"/>
  <cacheFields count="5">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0"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465278" createdVersion="5" refreshedVersion="8" minRefreshableVersion="3" recordCount="0" supportSubquery="1" supportAdvancedDrill="1" xr:uid="{9BF65104-F248-4D83-85F0-A5A3C5F6899E}">
  <cacheSource type="external" connectionId="3"/>
  <cacheFields count="5">
    <cacheField name="[Calendar_Table].[Date (Day)].[Date (Day)]" caption="Date (Day)" numFmtId="0" hierarchy="2" level="1">
      <sharedItems count="31">
        <s v="1-Mar"/>
        <s v="2-Mar"/>
        <s v="3-Mar"/>
        <s v="4-Mar"/>
        <s v="5-Mar"/>
        <s v="6-Mar"/>
        <s v="7-Mar"/>
        <s v="8-Mar"/>
        <s v="9-Mar"/>
        <s v="10-Mar"/>
        <s v="11-Mar"/>
        <s v="12-Mar"/>
        <s v="14-Mar"/>
        <s v="17-Mar"/>
        <s v="19-Mar"/>
        <s v="20-Mar"/>
        <s v="22-Mar"/>
        <s v="25-Mar"/>
        <s v="26-Mar"/>
        <s v="27-Mar"/>
        <s v="28-Mar"/>
        <s v="30-Mar"/>
        <s v="31-Mar"/>
        <s v="13-Mar"/>
        <s v="15-Mar"/>
        <s v="16-Mar"/>
        <s v="18-Mar"/>
        <s v="21-Mar"/>
        <s v="23-Mar"/>
        <s v="24-Mar"/>
        <s v="29-Mar"/>
      </sharedItems>
    </cacheField>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_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5462965" createdVersion="5" refreshedVersion="8" minRefreshableVersion="3" recordCount="0" supportSubquery="1" supportAdvancedDrill="1" xr:uid="{B6CCB3AE-06D1-4522-9C21-A9B7885B2634}">
  <cacheSource type="external" connectionId="3"/>
  <cacheFields count="5">
    <cacheField name="[Calendar_Table].[Date (Day)].[Date (Day)]" caption="Date (Day)" numFmtId="0" hierarchy="2" level="1">
      <sharedItems count="31">
        <s v="1-Mar"/>
        <s v="2-Mar"/>
        <s v="3-Mar"/>
        <s v="4-Mar"/>
        <s v="5-Mar"/>
        <s v="6-Mar"/>
        <s v="7-Mar"/>
        <s v="8-Mar"/>
        <s v="9-Mar"/>
        <s v="10-Mar"/>
        <s v="11-Mar"/>
        <s v="12-Mar"/>
        <s v="14-Mar"/>
        <s v="17-Mar"/>
        <s v="19-Mar"/>
        <s v="20-Mar"/>
        <s v="22-Mar"/>
        <s v="25-Mar"/>
        <s v="26-Mar"/>
        <s v="27-Mar"/>
        <s v="28-Mar"/>
        <s v="30-Mar"/>
        <s v="31-Mar"/>
        <s v="13-Mar"/>
        <s v="15-Mar"/>
        <s v="16-Mar"/>
        <s v="18-Mar"/>
        <s v="21-Mar"/>
        <s v="23-Mar"/>
        <s v="24-Mar"/>
        <s v="29-Mar"/>
      </sharedItems>
    </cacheField>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627315" createdVersion="5" refreshedVersion="8" minRefreshableVersion="3" recordCount="0" supportSubquery="1" supportAdvancedDrill="1" xr:uid="{FF8BD7DD-5189-4892-A098-B5688EFCFA80}">
  <cacheSource type="external" connectionId="3"/>
  <cacheFields count="5">
    <cacheField name="[Calendar_Table].[Date (Day)].[Date (Day)]" caption="Date (Day)" numFmtId="0" hierarchy="2" level="1">
      <sharedItems count="31">
        <s v="1-Mar"/>
        <s v="2-Mar"/>
        <s v="3-Mar"/>
        <s v="4-Mar"/>
        <s v="5-Mar"/>
        <s v="6-Mar"/>
        <s v="7-Mar"/>
        <s v="8-Mar"/>
        <s v="9-Mar"/>
        <s v="10-Mar"/>
        <s v="11-Mar"/>
        <s v="12-Mar"/>
        <s v="14-Mar"/>
        <s v="17-Mar"/>
        <s v="19-Mar"/>
        <s v="20-Mar"/>
        <s v="22-Mar"/>
        <s v="25-Mar"/>
        <s v="26-Mar"/>
        <s v="27-Mar"/>
        <s v="28-Mar"/>
        <s v="30-Mar"/>
        <s v="31-Mar"/>
        <s v="13-Mar"/>
        <s v="15-Mar"/>
        <s v="16-Mar"/>
        <s v="18-Mar"/>
        <s v="21-Mar"/>
        <s v="23-Mar"/>
        <s v="24-Mar"/>
        <s v="29-Mar"/>
      </sharedItems>
    </cacheField>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84477199074" createdVersion="5" refreshedVersion="8" minRefreshableVersion="3" recordCount="0" supportSubquery="1" supportAdvancedDrill="1" xr:uid="{4B0ECEA1-B8FC-4CC4-835B-E619354F8083}">
  <cacheSource type="external" connectionId="3"/>
  <cacheFields count="5">
    <cacheField name="[Calendar_Table].[Date (Day)].[Date (Day)]" caption="Date (Day)" numFmtId="0" hierarchy="2" level="1">
      <sharedItems count="31">
        <s v="1-Mar"/>
        <s v="2-Mar"/>
        <s v="3-Mar"/>
        <s v="4-Mar"/>
        <s v="5-Mar"/>
        <s v="6-Mar"/>
        <s v="7-Mar"/>
        <s v="8-Mar"/>
        <s v="9-Mar"/>
        <s v="10-Mar"/>
        <s v="11-Mar"/>
        <s v="12-Mar"/>
        <s v="14-Mar"/>
        <s v="17-Mar"/>
        <s v="19-Mar"/>
        <s v="20-Mar"/>
        <s v="22-Mar"/>
        <s v="25-Mar"/>
        <s v="26-Mar"/>
        <s v="27-Mar"/>
        <s v="28-Mar"/>
        <s v="30-Mar"/>
        <s v="31-Mar"/>
        <s v="13-Mar"/>
        <s v="15-Mar"/>
        <s v="16-Mar"/>
        <s v="18-Mar"/>
        <s v="21-Mar"/>
        <s v="23-Mar"/>
        <s v="24-Mar"/>
        <s v="29-Mar"/>
      </sharedItems>
    </cacheField>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MIN" refreshedDate="46016.579706712961" createdVersion="3" refreshedVersion="8" minRefreshableVersion="3" recordCount="0" supportSubquery="1" supportAdvancedDrill="1" xr:uid="{D0658CFB-A2CF-46A2-9C6E-5E89E69A145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390957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0B3E6-646D-422C-A8C5-82EF30879AFC}" name="PivotTable31" cacheId="1926" applyNumberFormats="0" applyBorderFormats="0" applyFontFormats="0" applyPatternFormats="0" applyAlignmentFormats="0" applyWidthHeightFormats="1" dataCaption="Values" tag="70898352-987e-40ff-889d-50ac89aee3dd" updatedVersion="8" minRefreshableVersion="3" subtotalHiddenItems="1" itemPrintTitles="1" createdVersion="5" indent="0" multipleFieldFilters="0" chartFormat="43">
  <location ref="A82:A84" firstHeaderRow="1" firstDataRow="1" firstDataCol="1"/>
  <pivotFields count="5">
    <pivotField allDrilled="1" showAll="0" sortType="ascending" defaultAttributeDrillState="1">
      <items count="32">
        <item x="9"/>
        <item x="10"/>
        <item x="11"/>
        <item x="23"/>
        <item x="12"/>
        <item x="24"/>
        <item x="25"/>
        <item x="13"/>
        <item x="26"/>
        <item x="14"/>
        <item x="0"/>
        <item x="15"/>
        <item x="27"/>
        <item x="16"/>
        <item x="28"/>
        <item x="29"/>
        <item x="17"/>
        <item x="18"/>
        <item x="19"/>
        <item x="20"/>
        <item x="30"/>
        <item x="1"/>
        <item x="21"/>
        <item x="22"/>
        <item x="2"/>
        <item x="3"/>
        <item x="4"/>
        <item x="5"/>
        <item x="6"/>
        <item x="7"/>
        <item x="8"/>
        <item t="default"/>
      </items>
    </pivotField>
    <pivotField axis="axisRow" allDrilled="1" showAll="0" dataSourceSort="1">
      <items count="2">
        <item x="0" e="0"/>
        <item t="default"/>
      </items>
    </pivotField>
    <pivotField axis="axisRow" allDrilled="1" showAll="0" dataSourceSort="1"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4"/>
    <field x="3"/>
    <field x="1"/>
    <field x="2"/>
  </rowFields>
  <rowItems count="2">
    <i>
      <x/>
    </i>
    <i t="grand">
      <x/>
    </i>
  </rowItems>
  <formats count="1">
    <format dxfId="83">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232D69-9562-44E3-B4DE-F886E16A3C11}" name="PivotTable30" cacheId="1959" applyNumberFormats="0" applyBorderFormats="0" applyFontFormats="0" applyPatternFormats="0" applyAlignmentFormats="0" applyWidthHeightFormats="1" dataCaption="Values" tag="503b8302-381f-47d8-afe2-25e845afeef1" updatedVersion="8" minRefreshableVersion="3" subtotalHiddenItems="1" itemPrintTitles="1" createdVersion="5" indent="0" multipleFieldFilters="0" chartFormat="43">
  <location ref="A70:B79" firstHeaderRow="1" firstDataRow="1" firstDataCol="1"/>
  <pivotFields count="5">
    <pivotField allDrilled="1" showAll="0" sortType="ascending" defaultAttributeDrillState="1">
      <items count="32">
        <item x="9"/>
        <item x="10"/>
        <item x="11"/>
        <item x="23"/>
        <item x="12"/>
        <item x="24"/>
        <item x="25"/>
        <item x="13"/>
        <item x="26"/>
        <item x="14"/>
        <item x="0"/>
        <item x="15"/>
        <item x="27"/>
        <item x="16"/>
        <item x="28"/>
        <item x="29"/>
        <item x="17"/>
        <item x="18"/>
        <item x="19"/>
        <item x="20"/>
        <item x="30"/>
        <item x="1"/>
        <item x="21"/>
        <item x="22"/>
        <item x="2"/>
        <item x="3"/>
        <item x="4"/>
        <item x="5"/>
        <item x="6"/>
        <item x="7"/>
        <item x="8"/>
        <item t="default"/>
      </items>
    </pivotField>
    <pivotField allDrilled="1" showAll="0" dataSourceSort="1" defaultAttributeDrillState="1"/>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9">
    <i>
      <x v="4"/>
    </i>
    <i>
      <x v="2"/>
    </i>
    <i>
      <x v="5"/>
    </i>
    <i>
      <x v="3"/>
    </i>
    <i>
      <x v="6"/>
    </i>
    <i>
      <x/>
    </i>
    <i>
      <x v="1"/>
    </i>
    <i>
      <x v="7"/>
    </i>
    <i t="grand">
      <x/>
    </i>
  </rowItems>
  <colItems count="1">
    <i/>
  </colItems>
  <dataFields count="1">
    <dataField name="Count of Department Referral" fld="3" subtotal="count" baseField="0" baseItem="0"/>
  </dataFields>
  <formats count="1">
    <format dxfId="84">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46F31-06A4-4526-949B-C00EA031884A}" name="PivotTable29" cacheId="1956" applyNumberFormats="0" applyBorderFormats="0" applyFontFormats="0" applyPatternFormats="0" applyAlignmentFormats="0" applyWidthHeightFormats="1" dataCaption="Values" tag="8404564e-aaac-4f40-802c-6881895afdad" updatedVersion="8" minRefreshableVersion="3" subtotalHiddenItems="1" itemPrintTitles="1" createdVersion="5" indent="0" multipleFieldFilters="0" chartFormat="36">
  <location ref="A59:B62" firstHeaderRow="1" firstDataRow="1" firstDataCol="1"/>
  <pivotFields count="5">
    <pivotField allDrilled="1" showAll="0" sortType="ascending" defaultAttributeDrillState="1">
      <items count="32">
        <item x="9"/>
        <item x="10"/>
        <item x="11"/>
        <item x="23"/>
        <item x="12"/>
        <item x="24"/>
        <item x="25"/>
        <item x="13"/>
        <item x="26"/>
        <item x="14"/>
        <item x="0"/>
        <item x="15"/>
        <item x="27"/>
        <item x="16"/>
        <item x="28"/>
        <item x="29"/>
        <item x="17"/>
        <item x="18"/>
        <item x="19"/>
        <item x="20"/>
        <item x="30"/>
        <item x="1"/>
        <item x="21"/>
        <item x="22"/>
        <item x="2"/>
        <item x="3"/>
        <item x="4"/>
        <item x="5"/>
        <item x="6"/>
        <item x="7"/>
        <item x="8"/>
        <item t="default"/>
      </items>
    </pivotField>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85">
      <pivotArea outline="0" collapsedLevelsAreSubtotals="1" fieldPosition="0"/>
    </format>
  </formats>
  <chartFormats count="3">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2" count="1" selected="0">
            <x v="0"/>
          </reference>
        </references>
      </pivotArea>
    </chartFormat>
    <chartFormat chart="34"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8FD2A-4BFF-4D16-8552-FB1DC2E7A093}" name="PivotTable28" cacheId="1953" applyNumberFormats="0" applyBorderFormats="0" applyFontFormats="0" applyPatternFormats="0" applyAlignmentFormats="0" applyWidthHeightFormats="1" dataCaption="Values" tag="e4da3f85-0319-424c-91fd-de6f0df20eb8" updatedVersion="8" minRefreshableVersion="3" subtotalHiddenItems="1" itemPrintTitles="1" createdVersion="5" indent="0" multipleFieldFilters="0" chartFormat="39">
  <location ref="A65:B68" firstHeaderRow="1" firstDataRow="1" firstDataCol="1"/>
  <pivotFields count="5">
    <pivotField allDrilled="1" showAll="0" sortType="ascending" defaultAttributeDrillState="1">
      <items count="32">
        <item x="9"/>
        <item x="10"/>
        <item x="11"/>
        <item x="23"/>
        <item x="12"/>
        <item x="24"/>
        <item x="25"/>
        <item x="13"/>
        <item x="26"/>
        <item x="14"/>
        <item x="0"/>
        <item x="15"/>
        <item x="27"/>
        <item x="16"/>
        <item x="28"/>
        <item x="29"/>
        <item x="17"/>
        <item x="18"/>
        <item x="19"/>
        <item x="20"/>
        <item x="30"/>
        <item x="1"/>
        <item x="21"/>
        <item x="22"/>
        <item x="2"/>
        <item x="3"/>
        <item x="4"/>
        <item x="5"/>
        <item x="6"/>
        <item x="7"/>
        <item x="8"/>
        <item t="default"/>
      </items>
    </pivotField>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2"/>
  </rowFields>
  <rowItems count="3">
    <i>
      <x/>
    </i>
    <i>
      <x v="1"/>
    </i>
    <i t="grand">
      <x/>
    </i>
  </rowItems>
  <colItems count="1">
    <i/>
  </colItems>
  <dataFields count="1">
    <dataField name="Count of Patient Attend Status" fld="3" subtotal="count" baseField="0" baseItem="0"/>
  </dataFields>
  <formats count="1">
    <format dxfId="86">
      <pivotArea outline="0" collapsedLevelsAreSubtotals="1" fieldPosition="0"/>
    </format>
  </formats>
  <chartFormats count="3">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2" count="1" selected="0">
            <x v="0"/>
          </reference>
        </references>
      </pivotArea>
    </chartFormat>
    <chartFormat chart="35"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45BC47-D745-4989-8EF1-643A64D2441E}" name="PivotTable27" cacheId="1950" applyNumberFormats="0" applyBorderFormats="0" applyFontFormats="0" applyPatternFormats="0" applyAlignmentFormats="0" applyWidthHeightFormats="1" dataCaption="Values" tag="8480fc57-5aab-4831-b4c3-0df1994abdd6" updatedVersion="8" minRefreshableVersion="3" subtotalHiddenItems="1" itemPrintTitles="1" createdVersion="5" indent="0" multipleFieldFilters="0" chartFormat="32">
  <location ref="A47:B56" firstHeaderRow="1" firstDataRow="1" firstDataCol="1"/>
  <pivotFields count="5">
    <pivotField allDrilled="1" showAll="0" sortType="ascending" defaultAttributeDrillState="1">
      <items count="32">
        <item x="9"/>
        <item x="10"/>
        <item x="11"/>
        <item x="23"/>
        <item x="12"/>
        <item x="24"/>
        <item x="25"/>
        <item x="13"/>
        <item x="26"/>
        <item x="14"/>
        <item x="0"/>
        <item x="15"/>
        <item x="27"/>
        <item x="16"/>
        <item x="28"/>
        <item x="29"/>
        <item x="17"/>
        <item x="18"/>
        <item x="19"/>
        <item x="20"/>
        <item x="30"/>
        <item x="1"/>
        <item x="21"/>
        <item x="22"/>
        <item x="2"/>
        <item x="3"/>
        <item x="4"/>
        <item x="5"/>
        <item x="6"/>
        <item x="7"/>
        <item x="8"/>
        <item t="default"/>
      </items>
    </pivotField>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numFmtId="1"/>
  </dataFields>
  <formats count="1">
    <format dxfId="87">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F81870-36B2-4D56-BC15-E9996A8380CD}" name="PivotTable26" cacheId="1947" applyNumberFormats="0" applyBorderFormats="0" applyFontFormats="0" applyPatternFormats="0" applyAlignmentFormats="0" applyWidthHeightFormats="1" dataCaption="Values" tag="fac361d7-dfcc-4975-9e72-8bbec99503e8" updatedVersion="8" minRefreshableVersion="3" itemPrintTitles="1" createdVersion="5" indent="0" multipleFieldFilters="0" chartFormat="5">
  <location ref="A28:C31" firstHeaderRow="0" firstDataRow="1" firstDataCol="1"/>
  <pivotFields count="5">
    <pivotField allDrilled="1" showAll="0" dataSourceSort="1" defaultAttributeDrillState="1"/>
    <pivotField dataField="1" showAll="0"/>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2"/>
  </rowFields>
  <rowItems count="3">
    <i>
      <x/>
    </i>
    <i>
      <x v="1"/>
    </i>
    <i t="grand">
      <x/>
    </i>
  </rowItems>
  <colFields count="1">
    <field x="-2"/>
  </colFields>
  <colItems count="2">
    <i>
      <x/>
    </i>
    <i i="1">
      <x v="1"/>
    </i>
  </colItems>
  <dataFields count="2">
    <dataField name="Count of Patient Attend Status" fld="1" subtotal="count" baseField="0" baseItem="0" numFmtId="1"/>
    <dataField name="Count of Patient Admission Flag" fld="3" subtotal="count" showDataAs="percentOfTotal" baseField="0" baseItem="0" numFmtId="10"/>
  </dataFields>
  <formats count="2">
    <format dxfId="89">
      <pivotArea outline="0" collapsedLevelsAreSubtotals="1" fieldPosition="0"/>
    </format>
    <format dxfId="88">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B6B24B-C126-418C-B3F5-9085A8090F6B}" name="PivotTable25" cacheId="1944" applyNumberFormats="0" applyBorderFormats="0" applyFontFormats="0" applyPatternFormats="0" applyAlignmentFormats="0" applyWidthHeightFormats="1" dataCaption="Values" tag="27be786e-c3da-4925-a3b3-d719e1e913ba" updatedVersion="8" minRefreshableVersion="3" subtotalHiddenItems="1" itemPrintTitles="1" createdVersion="5" indent="0" multipleFieldFilters="0" chartFormat="31">
  <location ref="M4:N36" firstHeaderRow="1" firstDataRow="1" firstDataCol="1"/>
  <pivotFields count="4">
    <pivotField axis="axisRow" allDrilled="1" showAll="0" sortType="ascending" defaultAttributeDrillState="1">
      <items count="32">
        <item x="9"/>
        <item x="10"/>
        <item x="11"/>
        <item x="12"/>
        <item x="13"/>
        <item x="14"/>
        <item x="15"/>
        <item x="16"/>
        <item x="17"/>
        <item x="18"/>
        <item x="0"/>
        <item x="19"/>
        <item x="20"/>
        <item x="21"/>
        <item x="22"/>
        <item x="23"/>
        <item x="24"/>
        <item x="25"/>
        <item x="26"/>
        <item x="27"/>
        <item x="28"/>
        <item x="1"/>
        <item x="29"/>
        <item x="30"/>
        <item x="2"/>
        <item x="3"/>
        <item x="4"/>
        <item x="5"/>
        <item x="6"/>
        <item x="7"/>
        <item x="8"/>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90">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6D8D6E-58B1-4672-9688-36C9A74FDF16}" name="PivotTable24" cacheId="1941" applyNumberFormats="0" applyBorderFormats="0" applyFontFormats="0" applyPatternFormats="0" applyAlignmentFormats="0" applyWidthHeightFormats="1" dataCaption="Values" tag="271b3000-a88f-4962-8cd9-dbb9259abd08" updatedVersion="8" minRefreshableVersion="3" subtotalHiddenItems="1" itemPrintTitles="1" createdVersion="5" indent="0" multipleFieldFilters="0" chartFormat="25">
  <location ref="I4:J36" firstHeaderRow="1" firstDataRow="1" firstDataCol="1"/>
  <pivotFields count="4">
    <pivotField axis="axisRow" allDrilled="1" showAll="0" sortType="ascending" defaultAttributeDrillState="1">
      <items count="32">
        <item x="9"/>
        <item x="10"/>
        <item x="11"/>
        <item x="12"/>
        <item x="13"/>
        <item x="14"/>
        <item x="15"/>
        <item x="16"/>
        <item x="17"/>
        <item x="18"/>
        <item x="0"/>
        <item x="19"/>
        <item x="20"/>
        <item x="21"/>
        <item x="22"/>
        <item x="23"/>
        <item x="24"/>
        <item x="25"/>
        <item x="26"/>
        <item x="27"/>
        <item x="28"/>
        <item x="1"/>
        <item x="29"/>
        <item x="30"/>
        <item x="2"/>
        <item x="3"/>
        <item x="4"/>
        <item x="5"/>
        <item x="6"/>
        <item x="7"/>
        <item x="8"/>
        <item t="default"/>
      </items>
    </pivotField>
    <pivotField allDrilled="1" showAll="0" dataSourceSort="1" defaultAttributeDrillState="1"/>
    <pivotField dataField="1" showAll="0"/>
    <pivotField allDrilled="1" showAll="0" dataSourceSort="1"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91">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3868A6-50EB-4433-8759-56DEAB212358}" name="PivotTable23" cacheId="1938" applyNumberFormats="0" applyBorderFormats="0" applyFontFormats="0" applyPatternFormats="0" applyAlignmentFormats="0" applyWidthHeightFormats="1" dataCaption="Values" tag="efbada19-7bab-41b1-a5e5-096dbba51011" updatedVersion="8" minRefreshableVersion="3" subtotalHiddenItems="1" itemPrintTitles="1" createdVersion="5" indent="0" multipleFieldFilters="0" chartFormat="21">
  <location ref="D5:E37" firstHeaderRow="1" firstDataRow="1" firstDataCol="1"/>
  <pivotFields count="4">
    <pivotField dataField="1" showAll="0"/>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A56003-AB91-45D8-8BF8-803D2D918BAF}" name="PivotTable22" cacheId="1935" applyNumberFormats="0" applyBorderFormats="0" applyFontFormats="0" applyPatternFormats="0" applyAlignmentFormats="0" applyWidthHeightFormats="1" dataCaption="Values" tag="66241e0d-e603-4284-b6f8-211a3961e2b6" updatedVersion="8" minRefreshableVersion="3" itemPrintTitles="1" createdVersion="5" indent="0" multipleFieldFilters="0">
  <location ref="A18:A19"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dataFields>
  <formats count="1">
    <format dxfId="98">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921908-66A2-426A-B3A9-DEEFE871C17B}" name="PivotTable21" cacheId="1932" applyNumberFormats="0" applyBorderFormats="0" applyFontFormats="0" applyPatternFormats="0" applyAlignmentFormats="0" applyWidthHeightFormats="1" dataCaption="Values" tag="d9775143-4e96-418c-8e0a-4a3e72efd176" updatedVersion="8" minRefreshableVersion="3" itemPrintTitles="1" createdVersion="5" indent="0" multipleFieldFilters="0">
  <location ref="A12:A1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0" numFmtId="2"/>
  </dataFields>
  <formats count="1">
    <format dxfId="99">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851137-61D1-4375-A666-ED8984EBA5BA}" name="PivotTable18" cacheId="1929" applyNumberFormats="0" applyBorderFormats="0" applyFontFormats="0" applyPatternFormats="0" applyAlignmentFormats="0" applyWidthHeightFormats="1" dataCaption="Values" tag="e6b20d79-7901-4ec2-b3b0-1c227ed8bcc4" updatedVersion="8" minRefreshableVersion="3" itemPrintTitles="1" createdVersion="5" indent="0" multipleFieldFilters="0">
  <location ref="A5:A6"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154ED59-BEC5-4EDC-9E10-494C1F245E1F}" sourceName="[Calendar_Table].[Date (Month)]">
  <pivotTables>
    <pivotTable tabId="1" name="PivotTable23"/>
    <pivotTable tabId="1" name="PivotTable18"/>
    <pivotTable tabId="1" name="PivotTable21"/>
    <pivotTable tabId="1" name="PivotTable22"/>
    <pivotTable tabId="1" name="PivotTable24"/>
    <pivotTable tabId="1" name="PivotTable25"/>
    <pivotTable tabId="1" name="PivotTable26"/>
    <pivotTable tabId="1" name="PivotTable27"/>
    <pivotTable tabId="1" name="PivotTable28"/>
    <pivotTable tabId="1" name="PivotTable29"/>
    <pivotTable tabId="1" name="PivotTable30"/>
    <pivotTable tabId="1" name="PivotTable31"/>
  </pivotTables>
  <data>
    <olap pivotCacheId="123909572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2815368-8535-425D-8989-73773B1F5315}" sourceName="[Calendar_Table].[Date (Year)]">
  <pivotTables>
    <pivotTable tabId="1" name="PivotTable31"/>
    <pivotTable tabId="1" name="PivotTable18"/>
    <pivotTable tabId="1" name="PivotTable21"/>
    <pivotTable tabId="1" name="PivotTable22"/>
    <pivotTable tabId="1" name="PivotTable23"/>
    <pivotTable tabId="1" name="PivotTable24"/>
    <pivotTable tabId="1" name="PivotTable25"/>
    <pivotTable tabId="1" name="PivotTable26"/>
    <pivotTable tabId="1" name="PivotTable27"/>
    <pivotTable tabId="1" name="PivotTable28"/>
    <pivotTable tabId="1" name="PivotTable29"/>
    <pivotTable tabId="1" name="PivotTable30"/>
  </pivotTables>
  <data>
    <olap pivotCacheId="123909572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8FE47E6-2979-4983-9BA5-92DB29C15B4D}" cache="Slicer_Date__Month" caption="Date (Month)" showCaption="0" level="1" style="MY STYLE 3" rowHeight="182880"/>
  <slicer name="Date (Year)" xr10:uid="{A63375D4-D75D-4347-B25D-605633A8BBA4}" cache="Slicer_Date__Year" caption="Date (Year)" columnCount="2" showCaption="0"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AFED-E0C5-435F-A384-E3C64814969A}">
  <dimension ref="A2:N84"/>
  <sheetViews>
    <sheetView topLeftCell="A41" workbookViewId="0">
      <selection activeCell="A41" sqref="A41:D44"/>
    </sheetView>
  </sheetViews>
  <sheetFormatPr defaultRowHeight="14.4" x14ac:dyDescent="0.3"/>
  <cols>
    <col min="1" max="1" width="15.77734375" customWidth="1"/>
    <col min="2" max="2" width="26.109375" bestFit="1" customWidth="1"/>
    <col min="3" max="3" width="12.21875" customWidth="1"/>
    <col min="4" max="4" width="23.33203125" customWidth="1"/>
    <col min="5" max="5" width="0.5546875" customWidth="1"/>
    <col min="9" max="9" width="18.5546875" bestFit="1" customWidth="1"/>
    <col min="10" max="10" width="17.88671875" customWidth="1"/>
    <col min="12" max="12" width="18.5546875" bestFit="1" customWidth="1"/>
    <col min="13" max="13" width="19" bestFit="1" customWidth="1"/>
    <col min="14" max="14" width="31.77734375" bestFit="1" customWidth="1"/>
  </cols>
  <sheetData>
    <row r="2" spans="1:14" x14ac:dyDescent="0.3">
      <c r="M2" t="s">
        <v>40</v>
      </c>
    </row>
    <row r="3" spans="1:14" x14ac:dyDescent="0.3">
      <c r="I3" t="s">
        <v>39</v>
      </c>
    </row>
    <row r="4" spans="1:14" x14ac:dyDescent="0.3">
      <c r="A4" t="s">
        <v>3</v>
      </c>
      <c r="D4" t="s">
        <v>38</v>
      </c>
      <c r="I4" s="2" t="s">
        <v>1</v>
      </c>
      <c r="J4" t="s">
        <v>4</v>
      </c>
      <c r="M4" s="2" t="s">
        <v>1</v>
      </c>
      <c r="N4" t="s">
        <v>5</v>
      </c>
    </row>
    <row r="5" spans="1:14" x14ac:dyDescent="0.3">
      <c r="A5" t="s">
        <v>0</v>
      </c>
      <c r="D5" s="2" t="s">
        <v>1</v>
      </c>
      <c r="E5" t="s">
        <v>0</v>
      </c>
      <c r="I5" s="3" t="s">
        <v>16</v>
      </c>
      <c r="J5" s="4">
        <v>31.708333333333332</v>
      </c>
      <c r="M5" s="3" t="s">
        <v>16</v>
      </c>
      <c r="N5" s="4">
        <v>4.5999999999999996</v>
      </c>
    </row>
    <row r="6" spans="1:14" x14ac:dyDescent="0.3">
      <c r="A6" s="1">
        <v>519</v>
      </c>
      <c r="D6" s="3" t="s">
        <v>7</v>
      </c>
      <c r="E6" s="1">
        <v>14</v>
      </c>
      <c r="I6" s="3" t="s">
        <v>17</v>
      </c>
      <c r="J6" s="4">
        <v>28.923076923076923</v>
      </c>
      <c r="M6" s="3" t="s">
        <v>17</v>
      </c>
      <c r="N6" s="4">
        <v>6.5</v>
      </c>
    </row>
    <row r="7" spans="1:14" x14ac:dyDescent="0.3">
      <c r="D7" s="3" t="s">
        <v>8</v>
      </c>
      <c r="E7" s="1">
        <v>21</v>
      </c>
      <c r="I7" s="3" t="s">
        <v>18</v>
      </c>
      <c r="J7" s="4">
        <v>42.071428571428569</v>
      </c>
      <c r="M7" s="3" t="s">
        <v>18</v>
      </c>
      <c r="N7" s="4">
        <v>5</v>
      </c>
    </row>
    <row r="8" spans="1:14" x14ac:dyDescent="0.3">
      <c r="D8" s="3" t="s">
        <v>9</v>
      </c>
      <c r="E8" s="1">
        <v>21</v>
      </c>
      <c r="I8" s="3" t="s">
        <v>19</v>
      </c>
      <c r="J8" s="4">
        <v>35.833333333333336</v>
      </c>
      <c r="M8" s="3" t="s">
        <v>19</v>
      </c>
      <c r="N8" s="4">
        <v>6</v>
      </c>
    </row>
    <row r="9" spans="1:14" x14ac:dyDescent="0.3">
      <c r="D9" s="3" t="s">
        <v>10</v>
      </c>
      <c r="E9" s="1">
        <v>15</v>
      </c>
      <c r="I9" s="3" t="s">
        <v>20</v>
      </c>
      <c r="J9" s="4">
        <v>28.727272727272727</v>
      </c>
      <c r="M9" s="3" t="s">
        <v>20</v>
      </c>
      <c r="N9" s="4">
        <v>4.7142857142857144</v>
      </c>
    </row>
    <row r="10" spans="1:14" x14ac:dyDescent="0.3">
      <c r="D10" s="3" t="s">
        <v>11</v>
      </c>
      <c r="E10" s="1">
        <v>11</v>
      </c>
      <c r="I10" s="3" t="s">
        <v>21</v>
      </c>
      <c r="J10" s="4">
        <v>35.75</v>
      </c>
      <c r="M10" s="3" t="s">
        <v>21</v>
      </c>
      <c r="N10" s="4">
        <v>4.2</v>
      </c>
    </row>
    <row r="11" spans="1:14" x14ac:dyDescent="0.3">
      <c r="D11" s="3" t="s">
        <v>12</v>
      </c>
      <c r="E11" s="1">
        <v>17</v>
      </c>
      <c r="I11" s="3" t="s">
        <v>22</v>
      </c>
      <c r="J11" s="4">
        <v>34.75</v>
      </c>
      <c r="M11" s="3" t="s">
        <v>22</v>
      </c>
      <c r="N11" s="4">
        <v>7.2</v>
      </c>
    </row>
    <row r="12" spans="1:14" x14ac:dyDescent="0.3">
      <c r="A12" t="s">
        <v>4</v>
      </c>
      <c r="D12" s="3" t="s">
        <v>13</v>
      </c>
      <c r="E12" s="1">
        <v>15</v>
      </c>
      <c r="I12" s="3" t="s">
        <v>23</v>
      </c>
      <c r="J12" s="4">
        <v>37.666666666666664</v>
      </c>
      <c r="M12" s="3" t="s">
        <v>23</v>
      </c>
      <c r="N12" s="4">
        <v>4.333333333333333</v>
      </c>
    </row>
    <row r="13" spans="1:14" x14ac:dyDescent="0.3">
      <c r="A13" s="4">
        <v>35.809248554913296</v>
      </c>
      <c r="D13" s="3" t="s">
        <v>14</v>
      </c>
      <c r="E13" s="1">
        <v>17</v>
      </c>
      <c r="I13" s="3" t="s">
        <v>24</v>
      </c>
      <c r="J13" s="4">
        <v>40.421052631578945</v>
      </c>
      <c r="M13" s="3" t="s">
        <v>24</v>
      </c>
      <c r="N13" s="4">
        <v>3.7777777777777777</v>
      </c>
    </row>
    <row r="14" spans="1:14" x14ac:dyDescent="0.3">
      <c r="D14" s="3" t="s">
        <v>15</v>
      </c>
      <c r="E14" s="1">
        <v>13</v>
      </c>
      <c r="I14" s="3" t="s">
        <v>25</v>
      </c>
      <c r="J14" s="4">
        <v>33.75</v>
      </c>
      <c r="M14" s="3" t="s">
        <v>25</v>
      </c>
      <c r="N14" s="4">
        <v>3.6666666666666665</v>
      </c>
    </row>
    <row r="15" spans="1:14" x14ac:dyDescent="0.3">
      <c r="D15" s="3" t="s">
        <v>16</v>
      </c>
      <c r="E15" s="1">
        <v>24</v>
      </c>
      <c r="I15" s="3" t="s">
        <v>7</v>
      </c>
      <c r="J15" s="4">
        <v>35.642857142857146</v>
      </c>
      <c r="M15" s="3" t="s">
        <v>7</v>
      </c>
      <c r="N15" s="4">
        <v>7.4</v>
      </c>
    </row>
    <row r="16" spans="1:14" x14ac:dyDescent="0.3">
      <c r="D16" s="3" t="s">
        <v>17</v>
      </c>
      <c r="E16" s="1">
        <v>13</v>
      </c>
      <c r="I16" s="3" t="s">
        <v>26</v>
      </c>
      <c r="J16" s="4">
        <v>32.764705882352942</v>
      </c>
      <c r="M16" s="3" t="s">
        <v>26</v>
      </c>
      <c r="N16" s="4">
        <v>4</v>
      </c>
    </row>
    <row r="17" spans="1:14" x14ac:dyDescent="0.3">
      <c r="D17" s="3" t="s">
        <v>18</v>
      </c>
      <c r="E17" s="1">
        <v>14</v>
      </c>
      <c r="I17" s="3" t="s">
        <v>27</v>
      </c>
      <c r="J17" s="4">
        <v>37.357142857142854</v>
      </c>
      <c r="M17" s="3" t="s">
        <v>27</v>
      </c>
      <c r="N17" s="4">
        <v>5.833333333333333</v>
      </c>
    </row>
    <row r="18" spans="1:14" x14ac:dyDescent="0.3">
      <c r="A18" t="s">
        <v>5</v>
      </c>
      <c r="D18" s="3" t="s">
        <v>19</v>
      </c>
      <c r="E18" s="1">
        <v>12</v>
      </c>
      <c r="I18" s="3" t="s">
        <v>28</v>
      </c>
      <c r="J18" s="4">
        <v>37.227272727272727</v>
      </c>
      <c r="M18" s="3" t="s">
        <v>28</v>
      </c>
      <c r="N18" s="4">
        <v>5.666666666666667</v>
      </c>
    </row>
    <row r="19" spans="1:14" x14ac:dyDescent="0.3">
      <c r="A19" s="4">
        <v>5.1455696202531644</v>
      </c>
      <c r="D19" s="3" t="s">
        <v>20</v>
      </c>
      <c r="E19" s="1">
        <v>11</v>
      </c>
      <c r="I19" s="3" t="s">
        <v>29</v>
      </c>
      <c r="J19" s="4">
        <v>36.700000000000003</v>
      </c>
      <c r="M19" s="3" t="s">
        <v>29</v>
      </c>
      <c r="N19" s="4">
        <v>5.5</v>
      </c>
    </row>
    <row r="20" spans="1:14" x14ac:dyDescent="0.3">
      <c r="D20" s="3" t="s">
        <v>21</v>
      </c>
      <c r="E20" s="1">
        <v>16</v>
      </c>
      <c r="I20" s="3" t="s">
        <v>30</v>
      </c>
      <c r="J20" s="4">
        <v>43.058823529411768</v>
      </c>
      <c r="M20" s="3" t="s">
        <v>30</v>
      </c>
      <c r="N20" s="4">
        <v>5.5</v>
      </c>
    </row>
    <row r="21" spans="1:14" x14ac:dyDescent="0.3">
      <c r="D21" s="3" t="s">
        <v>22</v>
      </c>
      <c r="E21" s="1">
        <v>20</v>
      </c>
      <c r="I21" s="3" t="s">
        <v>31</v>
      </c>
      <c r="J21" s="4">
        <v>39.777777777777779</v>
      </c>
      <c r="M21" s="3" t="s">
        <v>31</v>
      </c>
      <c r="N21" s="4">
        <v>7</v>
      </c>
    </row>
    <row r="22" spans="1:14" x14ac:dyDescent="0.3">
      <c r="D22" s="3" t="s">
        <v>23</v>
      </c>
      <c r="E22" s="1">
        <v>15</v>
      </c>
      <c r="I22" s="3" t="s">
        <v>32</v>
      </c>
      <c r="J22" s="4">
        <v>40.692307692307693</v>
      </c>
      <c r="M22" s="3" t="s">
        <v>32</v>
      </c>
      <c r="N22" s="4">
        <v>7</v>
      </c>
    </row>
    <row r="23" spans="1:14" x14ac:dyDescent="0.3">
      <c r="D23" s="3" t="s">
        <v>24</v>
      </c>
      <c r="E23" s="1">
        <v>19</v>
      </c>
      <c r="I23" s="3" t="s">
        <v>33</v>
      </c>
      <c r="J23" s="4">
        <v>34.46153846153846</v>
      </c>
      <c r="M23" s="3" t="s">
        <v>33</v>
      </c>
      <c r="N23" s="4">
        <v>4</v>
      </c>
    </row>
    <row r="24" spans="1:14" x14ac:dyDescent="0.3">
      <c r="D24" s="3" t="s">
        <v>25</v>
      </c>
      <c r="E24" s="1">
        <v>16</v>
      </c>
      <c r="I24" s="3" t="s">
        <v>34</v>
      </c>
      <c r="J24" s="4">
        <v>30.307692307692307</v>
      </c>
      <c r="M24" s="3" t="s">
        <v>34</v>
      </c>
      <c r="N24" s="4">
        <v>4.4444444444444446</v>
      </c>
    </row>
    <row r="25" spans="1:14" x14ac:dyDescent="0.3">
      <c r="D25" s="3" t="s">
        <v>26</v>
      </c>
      <c r="E25" s="1">
        <v>17</v>
      </c>
      <c r="I25" s="3" t="s">
        <v>35</v>
      </c>
      <c r="J25" s="4">
        <v>38.5</v>
      </c>
      <c r="M25" s="3" t="s">
        <v>35</v>
      </c>
      <c r="N25" s="4">
        <v>4.8571428571428568</v>
      </c>
    </row>
    <row r="26" spans="1:14" x14ac:dyDescent="0.3">
      <c r="D26" s="3" t="s">
        <v>27</v>
      </c>
      <c r="E26" s="1">
        <v>28</v>
      </c>
      <c r="I26" s="3" t="s">
        <v>8</v>
      </c>
      <c r="J26" s="4">
        <v>27</v>
      </c>
      <c r="M26" s="3" t="s">
        <v>8</v>
      </c>
      <c r="N26" s="4">
        <v>5.6</v>
      </c>
    </row>
    <row r="27" spans="1:14" x14ac:dyDescent="0.3">
      <c r="D27" s="3" t="s">
        <v>28</v>
      </c>
      <c r="E27" s="1">
        <v>22</v>
      </c>
      <c r="I27" s="3" t="s">
        <v>36</v>
      </c>
      <c r="J27" s="4">
        <v>35.333333333333336</v>
      </c>
      <c r="M27" s="3" t="s">
        <v>36</v>
      </c>
      <c r="N27" s="4">
        <v>5.5714285714285712</v>
      </c>
    </row>
    <row r="28" spans="1:14" x14ac:dyDescent="0.3">
      <c r="A28" s="2" t="s">
        <v>1</v>
      </c>
      <c r="B28" t="s">
        <v>41</v>
      </c>
      <c r="C28" t="s">
        <v>44</v>
      </c>
      <c r="D28" s="3" t="s">
        <v>29</v>
      </c>
      <c r="E28" s="1">
        <v>20</v>
      </c>
      <c r="I28" s="3" t="s">
        <v>37</v>
      </c>
      <c r="J28" s="4">
        <v>32.421052631578945</v>
      </c>
      <c r="M28" s="3" t="s">
        <v>37</v>
      </c>
      <c r="N28" s="4">
        <v>6</v>
      </c>
    </row>
    <row r="29" spans="1:14" x14ac:dyDescent="0.3">
      <c r="A29" s="3" t="s">
        <v>42</v>
      </c>
      <c r="B29" s="6">
        <v>266</v>
      </c>
      <c r="C29" s="7">
        <v>0.51252408477842004</v>
      </c>
      <c r="D29" s="3" t="s">
        <v>30</v>
      </c>
      <c r="E29" s="1">
        <v>17</v>
      </c>
      <c r="I29" s="3" t="s">
        <v>9</v>
      </c>
      <c r="J29" s="4">
        <v>36.047619047619051</v>
      </c>
      <c r="M29" s="3" t="s">
        <v>9</v>
      </c>
      <c r="N29" s="4">
        <v>6.7142857142857144</v>
      </c>
    </row>
    <row r="30" spans="1:14" x14ac:dyDescent="0.3">
      <c r="A30" s="3" t="s">
        <v>43</v>
      </c>
      <c r="B30" s="6">
        <v>253</v>
      </c>
      <c r="C30" s="7">
        <v>0.48747591522157996</v>
      </c>
      <c r="D30" s="3" t="s">
        <v>31</v>
      </c>
      <c r="E30" s="1">
        <v>18</v>
      </c>
      <c r="I30" s="3" t="s">
        <v>10</v>
      </c>
      <c r="J30" s="4">
        <v>38.866666666666667</v>
      </c>
      <c r="M30" s="3" t="s">
        <v>10</v>
      </c>
      <c r="N30" s="4">
        <v>6</v>
      </c>
    </row>
    <row r="31" spans="1:14" x14ac:dyDescent="0.3">
      <c r="A31" s="3" t="s">
        <v>2</v>
      </c>
      <c r="B31" s="6">
        <v>519</v>
      </c>
      <c r="C31" s="7">
        <v>1</v>
      </c>
      <c r="D31" s="3" t="s">
        <v>32</v>
      </c>
      <c r="E31" s="1">
        <v>13</v>
      </c>
      <c r="I31" s="3" t="s">
        <v>11</v>
      </c>
      <c r="J31" s="4">
        <v>35.909090909090907</v>
      </c>
      <c r="M31" s="3" t="s">
        <v>11</v>
      </c>
      <c r="N31" s="4">
        <v>4</v>
      </c>
    </row>
    <row r="32" spans="1:14" x14ac:dyDescent="0.3">
      <c r="D32" s="3" t="s">
        <v>33</v>
      </c>
      <c r="E32" s="1">
        <v>13</v>
      </c>
      <c r="I32" s="3" t="s">
        <v>12</v>
      </c>
      <c r="J32" s="4">
        <v>38.470588235294116</v>
      </c>
      <c r="M32" s="3" t="s">
        <v>12</v>
      </c>
      <c r="N32" s="4">
        <v>4.7142857142857144</v>
      </c>
    </row>
    <row r="33" spans="1:14" x14ac:dyDescent="0.3">
      <c r="A33" s="3" t="s">
        <v>45</v>
      </c>
      <c r="B33" t="s">
        <v>46</v>
      </c>
      <c r="C33" t="s">
        <v>47</v>
      </c>
      <c r="D33" s="3" t="s">
        <v>34</v>
      </c>
      <c r="E33" s="1">
        <v>13</v>
      </c>
      <c r="I33" s="3" t="s">
        <v>13</v>
      </c>
      <c r="J33" s="4">
        <v>36.733333333333334</v>
      </c>
      <c r="M33" s="3" t="s">
        <v>13</v>
      </c>
      <c r="N33" s="4">
        <v>1.8</v>
      </c>
    </row>
    <row r="34" spans="1:14" x14ac:dyDescent="0.3">
      <c r="A34" t="str">
        <f>A29</f>
        <v>Admitted</v>
      </c>
      <c r="B34">
        <f t="shared" ref="B34:C34" si="0">B29</f>
        <v>266</v>
      </c>
      <c r="C34" s="8">
        <f t="shared" si="0"/>
        <v>0.51252408477842004</v>
      </c>
      <c r="D34" s="3" t="s">
        <v>35</v>
      </c>
      <c r="E34" s="1">
        <v>20</v>
      </c>
      <c r="I34" s="3" t="s">
        <v>14</v>
      </c>
      <c r="J34" s="4">
        <v>34.588235294117645</v>
      </c>
      <c r="M34" s="3" t="s">
        <v>14</v>
      </c>
      <c r="N34" s="4">
        <v>4.833333333333333</v>
      </c>
    </row>
    <row r="35" spans="1:14" x14ac:dyDescent="0.3">
      <c r="A35" t="str">
        <f>A30</f>
        <v>Not Admitted</v>
      </c>
      <c r="B35">
        <f t="shared" ref="B35:C35" si="1">B30</f>
        <v>253</v>
      </c>
      <c r="C35" s="8">
        <f t="shared" si="1"/>
        <v>0.48747591522157996</v>
      </c>
      <c r="D35" s="3" t="s">
        <v>36</v>
      </c>
      <c r="E35" s="1">
        <v>15</v>
      </c>
      <c r="I35" s="3" t="s">
        <v>15</v>
      </c>
      <c r="J35" s="4">
        <v>37.53846153846154</v>
      </c>
      <c r="M35" s="3" t="s">
        <v>15</v>
      </c>
      <c r="N35" s="4">
        <v>4.25</v>
      </c>
    </row>
    <row r="36" spans="1:14" x14ac:dyDescent="0.3">
      <c r="D36" s="3" t="s">
        <v>37</v>
      </c>
      <c r="E36" s="1">
        <v>19</v>
      </c>
      <c r="I36" s="3" t="s">
        <v>2</v>
      </c>
      <c r="J36" s="4">
        <v>35.809248554913296</v>
      </c>
      <c r="M36" s="3" t="s">
        <v>2</v>
      </c>
      <c r="N36" s="4">
        <v>5.1455696202531644</v>
      </c>
    </row>
    <row r="37" spans="1:14" x14ac:dyDescent="0.3">
      <c r="D37" s="3" t="s">
        <v>2</v>
      </c>
      <c r="E37" s="1">
        <v>519</v>
      </c>
    </row>
    <row r="41" spans="1:14" x14ac:dyDescent="0.3">
      <c r="A41" s="10" t="s">
        <v>45</v>
      </c>
      <c r="B41" s="10" t="s">
        <v>48</v>
      </c>
      <c r="C41" s="10" t="s">
        <v>47</v>
      </c>
      <c r="D41" s="11"/>
      <c r="E41" s="9"/>
    </row>
    <row r="42" spans="1:14" x14ac:dyDescent="0.3">
      <c r="A42" s="12" t="str">
        <f>A35</f>
        <v>Not Admitted</v>
      </c>
      <c r="B42" s="12">
        <f>B35</f>
        <v>253</v>
      </c>
      <c r="C42" s="13">
        <f>C35</f>
        <v>0.48747591522157996</v>
      </c>
      <c r="D42" s="12"/>
      <c r="E42" s="5"/>
    </row>
    <row r="43" spans="1:14" x14ac:dyDescent="0.3">
      <c r="A43" s="12" t="str">
        <f>A34</f>
        <v>Admitted</v>
      </c>
      <c r="B43" s="12">
        <f>B34</f>
        <v>266</v>
      </c>
      <c r="C43" s="13">
        <f>C34</f>
        <v>0.51252408477842004</v>
      </c>
      <c r="D43" s="12"/>
      <c r="E43" s="5"/>
    </row>
    <row r="44" spans="1:14" x14ac:dyDescent="0.3">
      <c r="A44" s="12"/>
      <c r="B44" s="12"/>
      <c r="C44" s="12"/>
      <c r="D44" s="12"/>
      <c r="E44" s="5"/>
    </row>
    <row r="46" spans="1:14" x14ac:dyDescent="0.3">
      <c r="A46" t="s">
        <v>74</v>
      </c>
    </row>
    <row r="47" spans="1:14" x14ac:dyDescent="0.3">
      <c r="A47" s="2" t="s">
        <v>1</v>
      </c>
      <c r="B47" t="s">
        <v>57</v>
      </c>
    </row>
    <row r="48" spans="1:14" x14ac:dyDescent="0.3">
      <c r="A48" s="3" t="s">
        <v>49</v>
      </c>
      <c r="B48" s="6">
        <v>73</v>
      </c>
    </row>
    <row r="49" spans="1:2" x14ac:dyDescent="0.3">
      <c r="A49" s="3" t="s">
        <v>50</v>
      </c>
      <c r="B49" s="6">
        <v>64</v>
      </c>
    </row>
    <row r="50" spans="1:2" x14ac:dyDescent="0.3">
      <c r="A50" s="3" t="s">
        <v>51</v>
      </c>
      <c r="B50" s="6">
        <v>74</v>
      </c>
    </row>
    <row r="51" spans="1:2" x14ac:dyDescent="0.3">
      <c r="A51" s="3" t="s">
        <v>52</v>
      </c>
      <c r="B51" s="6">
        <v>71</v>
      </c>
    </row>
    <row r="52" spans="1:2" x14ac:dyDescent="0.3">
      <c r="A52" s="3" t="s">
        <v>53</v>
      </c>
      <c r="B52" s="6">
        <v>58</v>
      </c>
    </row>
    <row r="53" spans="1:2" x14ac:dyDescent="0.3">
      <c r="A53" s="3" t="s">
        <v>54</v>
      </c>
      <c r="B53" s="6">
        <v>68</v>
      </c>
    </row>
    <row r="54" spans="1:2" x14ac:dyDescent="0.3">
      <c r="A54" s="3" t="s">
        <v>55</v>
      </c>
      <c r="B54" s="6">
        <v>62</v>
      </c>
    </row>
    <row r="55" spans="1:2" x14ac:dyDescent="0.3">
      <c r="A55" s="3" t="s">
        <v>56</v>
      </c>
      <c r="B55" s="6">
        <v>49</v>
      </c>
    </row>
    <row r="56" spans="1:2" x14ac:dyDescent="0.3">
      <c r="A56" s="3" t="s">
        <v>2</v>
      </c>
      <c r="B56" s="6">
        <v>519</v>
      </c>
    </row>
    <row r="58" spans="1:2" x14ac:dyDescent="0.3">
      <c r="A58" s="3" t="s">
        <v>73</v>
      </c>
    </row>
    <row r="59" spans="1:2" x14ac:dyDescent="0.3">
      <c r="A59" s="2" t="s">
        <v>1</v>
      </c>
      <c r="B59" t="s">
        <v>62</v>
      </c>
    </row>
    <row r="60" spans="1:2" x14ac:dyDescent="0.3">
      <c r="A60" s="3" t="s">
        <v>60</v>
      </c>
      <c r="B60" s="6">
        <v>254</v>
      </c>
    </row>
    <row r="61" spans="1:2" x14ac:dyDescent="0.3">
      <c r="A61" s="3" t="s">
        <v>61</v>
      </c>
      <c r="B61" s="6">
        <v>265</v>
      </c>
    </row>
    <row r="62" spans="1:2" x14ac:dyDescent="0.3">
      <c r="A62" s="3" t="s">
        <v>2</v>
      </c>
      <c r="B62" s="6">
        <v>519</v>
      </c>
    </row>
    <row r="64" spans="1:2" x14ac:dyDescent="0.3">
      <c r="A64" s="3" t="s">
        <v>72</v>
      </c>
    </row>
    <row r="65" spans="1:2" x14ac:dyDescent="0.3">
      <c r="A65" s="2" t="s">
        <v>1</v>
      </c>
      <c r="B65" t="s">
        <v>41</v>
      </c>
    </row>
    <row r="66" spans="1:2" x14ac:dyDescent="0.3">
      <c r="A66" s="3" t="s">
        <v>58</v>
      </c>
      <c r="B66" s="6">
        <v>324</v>
      </c>
    </row>
    <row r="67" spans="1:2" x14ac:dyDescent="0.3">
      <c r="A67" s="3" t="s">
        <v>59</v>
      </c>
      <c r="B67" s="6">
        <v>195</v>
      </c>
    </row>
    <row r="68" spans="1:2" x14ac:dyDescent="0.3">
      <c r="A68" s="3" t="s">
        <v>2</v>
      </c>
      <c r="B68" s="6">
        <v>519</v>
      </c>
    </row>
    <row r="70" spans="1:2" x14ac:dyDescent="0.3">
      <c r="A70" s="2" t="s">
        <v>1</v>
      </c>
      <c r="B70" t="s">
        <v>71</v>
      </c>
    </row>
    <row r="71" spans="1:2" x14ac:dyDescent="0.3">
      <c r="A71" s="3" t="s">
        <v>67</v>
      </c>
      <c r="B71" s="6">
        <v>313</v>
      </c>
    </row>
    <row r="72" spans="1:2" x14ac:dyDescent="0.3">
      <c r="A72" s="3" t="s">
        <v>65</v>
      </c>
      <c r="B72" s="6">
        <v>102</v>
      </c>
    </row>
    <row r="73" spans="1:2" x14ac:dyDescent="0.3">
      <c r="A73" s="3" t="s">
        <v>68</v>
      </c>
      <c r="B73" s="6">
        <v>51</v>
      </c>
    </row>
    <row r="74" spans="1:2" x14ac:dyDescent="0.3">
      <c r="A74" s="3" t="s">
        <v>66</v>
      </c>
      <c r="B74" s="6">
        <v>16</v>
      </c>
    </row>
    <row r="75" spans="1:2" x14ac:dyDescent="0.3">
      <c r="A75" s="3" t="s">
        <v>69</v>
      </c>
      <c r="B75" s="6">
        <v>15</v>
      </c>
    </row>
    <row r="76" spans="1:2" x14ac:dyDescent="0.3">
      <c r="A76" s="3" t="s">
        <v>63</v>
      </c>
      <c r="B76" s="6">
        <v>11</v>
      </c>
    </row>
    <row r="77" spans="1:2" x14ac:dyDescent="0.3">
      <c r="A77" s="3" t="s">
        <v>64</v>
      </c>
      <c r="B77" s="6">
        <v>8</v>
      </c>
    </row>
    <row r="78" spans="1:2" x14ac:dyDescent="0.3">
      <c r="A78" s="3" t="s">
        <v>70</v>
      </c>
      <c r="B78" s="6">
        <v>3</v>
      </c>
    </row>
    <row r="79" spans="1:2" x14ac:dyDescent="0.3">
      <c r="A79" s="3" t="s">
        <v>2</v>
      </c>
      <c r="B79" s="6">
        <v>519</v>
      </c>
    </row>
    <row r="82" spans="1:1" x14ac:dyDescent="0.3">
      <c r="A82" s="2" t="s">
        <v>1</v>
      </c>
    </row>
    <row r="83" spans="1:1" x14ac:dyDescent="0.3">
      <c r="A83" s="3" t="s">
        <v>6</v>
      </c>
    </row>
    <row r="84" spans="1:1" x14ac:dyDescent="0.3">
      <c r="A84" s="3" t="s">
        <v>2</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BA1C-0488-476B-A5B1-1DE524156D1C}">
  <dimension ref="A5"/>
  <sheetViews>
    <sheetView tabSelected="1" zoomScale="150" zoomScaleNormal="150" workbookViewId="0">
      <selection activeCell="O5" sqref="O5"/>
    </sheetView>
  </sheetViews>
  <sheetFormatPr defaultRowHeight="14.4" x14ac:dyDescent="0.3"/>
  <cols>
    <col min="1" max="3" width="8.88671875" style="14"/>
    <col min="4" max="4" width="8.77734375" style="14" customWidth="1"/>
    <col min="5" max="16384" width="8.88671875" style="14"/>
  </cols>
  <sheetData>
    <row r="5" s="14" customForma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FBBF-768A-4D5D-A3E3-D7ADA0F48C32}">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3C41-220E-4C8F-9CFE-E2101E33E82E}">
  <dimension ref="A1"/>
  <sheetViews>
    <sheetView workbookViewId="0"/>
  </sheetViews>
  <sheetFormatPr defaultRowHeight="14.4" x14ac:dyDescent="0.3"/>
  <cols>
    <col min="1" max="16384" width="8.8867187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F374-2540-4C4E-9BBF-2E0D2CDB08D8}">
  <dimension ref="A1"/>
  <sheetViews>
    <sheetView workbookViewId="0"/>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8CF0E2-7C01-437D-9882-BCA32591D2F5}">
  <ds:schemaRefs>
    <ds:schemaRef ds:uri="http://schemas.microsoft.com/DataMashup"/>
  </ds:schemaRefs>
</ds:datastoreItem>
</file>

<file path=customXml/itemProps2.xml><?xml version="1.0" encoding="utf-8"?>
<ds:datastoreItem xmlns:ds="http://schemas.openxmlformats.org/officeDocument/2006/customXml" ds:itemID="{5A26EC4A-0A88-4C90-A77A-D096936233DD}">
  <ds:schemaRefs/>
</ds:datastoreItem>
</file>

<file path=customXml/itemProps3.xml><?xml version="1.0" encoding="utf-8"?>
<ds:datastoreItem xmlns:ds="http://schemas.openxmlformats.org/officeDocument/2006/customXml" ds:itemID="{C0EBCD07-F810-4DD3-ABFF-7509CDFBEAA7}">
  <ds:schemaRefs/>
</ds:datastoreItem>
</file>

<file path=customXml/itemProps4.xml><?xml version="1.0" encoding="utf-8"?>
<ds:datastoreItem xmlns:ds="http://schemas.openxmlformats.org/officeDocument/2006/customXml" ds:itemID="{3BF4E41A-B650-41BB-9FDE-D68BA066CD75}">
  <ds:schemaRefs/>
</ds:datastoreItem>
</file>

<file path=customXml/itemProps5.xml><?xml version="1.0" encoding="utf-8"?>
<ds:datastoreItem xmlns:ds="http://schemas.openxmlformats.org/officeDocument/2006/customXml" ds:itemID="{746AC158-34F2-4044-B586-7461B85555B7}">
  <ds:schemaRefs/>
</ds:datastoreItem>
</file>

<file path=customXml/itemProps6.xml><?xml version="1.0" encoding="utf-8"?>
<ds:datastoreItem xmlns:ds="http://schemas.openxmlformats.org/officeDocument/2006/customXml" ds:itemID="{161ED021-2BED-49CC-ABCF-CABAD778A6C2}">
  <ds:schemaRefs/>
</ds:datastoreItem>
</file>

<file path=customXml/itemProps7.xml><?xml version="1.0" encoding="utf-8"?>
<ds:datastoreItem xmlns:ds="http://schemas.openxmlformats.org/officeDocument/2006/customXml" ds:itemID="{87A1CE31-A7F9-439A-BB5C-F4FF8100C208}">
  <ds:schemaRefs/>
</ds:datastoreItem>
</file>

<file path=customXml/itemProps8.xml><?xml version="1.0" encoding="utf-8"?>
<ds:datastoreItem xmlns:ds="http://schemas.openxmlformats.org/officeDocument/2006/customXml" ds:itemID="{967AAAD7-C498-48DE-96BC-950465903923}">
  <ds:schemaRefs/>
</ds:datastoreItem>
</file>

<file path=customXml/itemProps9.xml><?xml version="1.0" encoding="utf-8"?>
<ds:datastoreItem xmlns:ds="http://schemas.openxmlformats.org/officeDocument/2006/customXml" ds:itemID="{08F85641-483C-4A83-8279-1171AE0AE259}">
  <ds:schemaRefs/>
</ds:datastoreItem>
</file>

<file path=customXml/itemProps10.xml><?xml version="1.0" encoding="utf-8"?>
<ds:datastoreItem xmlns:ds="http://schemas.openxmlformats.org/officeDocument/2006/customXml" ds:itemID="{AE87522E-4CEA-4A7C-A2AD-3D2B086B1005}">
  <ds:schemaRefs/>
</ds:datastoreItem>
</file>

<file path=customXml/itemProps11.xml><?xml version="1.0" encoding="utf-8"?>
<ds:datastoreItem xmlns:ds="http://schemas.openxmlformats.org/officeDocument/2006/customXml" ds:itemID="{7F72AD94-2617-4A79-B511-C8F5EE161FA6}">
  <ds:schemaRefs/>
</ds:datastoreItem>
</file>

<file path=customXml/itemProps12.xml><?xml version="1.0" encoding="utf-8"?>
<ds:datastoreItem xmlns:ds="http://schemas.openxmlformats.org/officeDocument/2006/customXml" ds:itemID="{E1EFA774-2CD6-4671-9998-4FFAFF9A08CD}">
  <ds:schemaRefs/>
</ds:datastoreItem>
</file>

<file path=customXml/itemProps13.xml><?xml version="1.0" encoding="utf-8"?>
<ds:datastoreItem xmlns:ds="http://schemas.openxmlformats.org/officeDocument/2006/customXml" ds:itemID="{6D0F517C-26F7-4F7A-8E4B-6D894B6A3C61}">
  <ds:schemaRefs/>
</ds:datastoreItem>
</file>

<file path=customXml/itemProps14.xml><?xml version="1.0" encoding="utf-8"?>
<ds:datastoreItem xmlns:ds="http://schemas.openxmlformats.org/officeDocument/2006/customXml" ds:itemID="{F53352ED-8F3D-4E38-8A07-16CA1AE21C7A}">
  <ds:schemaRefs/>
</ds:datastoreItem>
</file>

<file path=customXml/itemProps15.xml><?xml version="1.0" encoding="utf-8"?>
<ds:datastoreItem xmlns:ds="http://schemas.openxmlformats.org/officeDocument/2006/customXml" ds:itemID="{DDC299B7-565E-4F72-9AE3-0ADCAFFA0C09}">
  <ds:schemaRefs/>
</ds:datastoreItem>
</file>

<file path=customXml/itemProps16.xml><?xml version="1.0" encoding="utf-8"?>
<ds:datastoreItem xmlns:ds="http://schemas.openxmlformats.org/officeDocument/2006/customXml" ds:itemID="{0D8B486B-3797-465E-83EE-D8470D421181}">
  <ds:schemaRefs/>
</ds:datastoreItem>
</file>

<file path=customXml/itemProps17.xml><?xml version="1.0" encoding="utf-8"?>
<ds:datastoreItem xmlns:ds="http://schemas.openxmlformats.org/officeDocument/2006/customXml" ds:itemID="{65B8A71E-F6D6-4EBC-9D2E-D117D87663B4}">
  <ds:schemaRefs/>
</ds:datastoreItem>
</file>

<file path=customXml/itemProps18.xml><?xml version="1.0" encoding="utf-8"?>
<ds:datastoreItem xmlns:ds="http://schemas.openxmlformats.org/officeDocument/2006/customXml" ds:itemID="{E731DC5E-2654-47BE-9125-E8443C970D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vt:lpstr>
      <vt:lpstr>Average Wait Time </vt:lpstr>
      <vt:lpstr>Daily ER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Harmin Mehta</dc:creator>
  <cp:lastModifiedBy>Harmin Mehta</cp:lastModifiedBy>
  <dcterms:created xsi:type="dcterms:W3CDTF">2025-12-24T11:35:44Z</dcterms:created>
  <dcterms:modified xsi:type="dcterms:W3CDTF">2025-12-25T08:44:36Z</dcterms:modified>
</cp:coreProperties>
</file>